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esktop\DESKTOP_2\"/>
    </mc:Choice>
  </mc:AlternateContent>
  <xr:revisionPtr revIDLastSave="0" documentId="13_ncr:1_{24F6C8AD-8A80-47EE-9651-D9D61C6CED0B}" xr6:coauthVersionLast="47" xr6:coauthVersionMax="47" xr10:uidLastSave="{00000000-0000-0000-0000-000000000000}"/>
  <bookViews>
    <workbookView xWindow="-108" yWindow="-108" windowWidth="23256" windowHeight="12456" activeTab="1" xr2:uid="{CE9537C3-5ACE-4116-901F-E059CD796EE6}"/>
  </bookViews>
  <sheets>
    <sheet name="Countries" sheetId="1" r:id="rId1"/>
    <sheet name="Macro_Regions" sheetId="2" r:id="rId2"/>
    <sheet name="Contin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3" i="3"/>
  <c r="L4" i="3"/>
  <c r="L2" i="3"/>
  <c r="I45" i="3"/>
  <c r="I44" i="3"/>
  <c r="I43" i="3"/>
  <c r="I42" i="3"/>
  <c r="I41" i="3"/>
  <c r="I40" i="3"/>
  <c r="I39" i="3"/>
  <c r="I38" i="3"/>
  <c r="I37" i="3"/>
  <c r="I34" i="3"/>
  <c r="I33" i="3"/>
  <c r="I32" i="3"/>
  <c r="I31" i="3"/>
  <c r="I30" i="3"/>
  <c r="I29" i="3"/>
  <c r="I28" i="3"/>
  <c r="I27" i="3"/>
  <c r="I26" i="3"/>
  <c r="I23" i="3"/>
  <c r="I22" i="3"/>
  <c r="I21" i="3"/>
  <c r="I20" i="3"/>
  <c r="I19" i="3"/>
  <c r="I18" i="3"/>
  <c r="I17" i="3"/>
  <c r="I16" i="3"/>
  <c r="I15" i="3"/>
  <c r="I12" i="3"/>
  <c r="I11" i="3"/>
  <c r="I10" i="3"/>
  <c r="I9" i="3"/>
  <c r="I8" i="3"/>
  <c r="I7" i="3"/>
  <c r="I6" i="3"/>
  <c r="I5" i="3"/>
  <c r="I4" i="3"/>
  <c r="L122" i="2"/>
  <c r="I122" i="2"/>
  <c r="L121" i="2"/>
  <c r="I121" i="2"/>
  <c r="L120" i="2"/>
  <c r="I120" i="2"/>
  <c r="L119" i="2"/>
  <c r="I119" i="2"/>
  <c r="L118" i="2"/>
  <c r="I118" i="2"/>
  <c r="L117" i="2"/>
  <c r="I117" i="2"/>
  <c r="L116" i="2"/>
  <c r="I116" i="2"/>
  <c r="L115" i="2"/>
  <c r="I115" i="2"/>
  <c r="L114" i="2"/>
  <c r="I114" i="2"/>
  <c r="L113" i="2"/>
  <c r="L112" i="2"/>
  <c r="L111" i="2"/>
  <c r="I111" i="2"/>
  <c r="L110" i="2"/>
  <c r="I110" i="2"/>
  <c r="L109" i="2"/>
  <c r="I109" i="2"/>
  <c r="L108" i="2"/>
  <c r="I108" i="2"/>
  <c r="L107" i="2"/>
  <c r="I107" i="2"/>
  <c r="L106" i="2"/>
  <c r="I106" i="2"/>
  <c r="L105" i="2"/>
  <c r="I105" i="2"/>
  <c r="L104" i="2"/>
  <c r="I104" i="2"/>
  <c r="L103" i="2"/>
  <c r="I103" i="2"/>
  <c r="L102" i="2"/>
  <c r="L101" i="2"/>
  <c r="L100" i="2"/>
  <c r="I100" i="2"/>
  <c r="L99" i="2"/>
  <c r="I99" i="2"/>
  <c r="L98" i="2"/>
  <c r="I98" i="2"/>
  <c r="L97" i="2"/>
  <c r="I97" i="2"/>
  <c r="L96" i="2"/>
  <c r="I96" i="2"/>
  <c r="L95" i="2"/>
  <c r="I95" i="2"/>
  <c r="L94" i="2"/>
  <c r="I94" i="2"/>
  <c r="L93" i="2"/>
  <c r="I93" i="2"/>
  <c r="L92" i="2"/>
  <c r="I92" i="2"/>
  <c r="L91" i="2"/>
  <c r="L90" i="2"/>
  <c r="L89" i="2"/>
  <c r="I89" i="2"/>
  <c r="L88" i="2"/>
  <c r="I88" i="2"/>
  <c r="L87" i="2"/>
  <c r="I87" i="2"/>
  <c r="L86" i="2"/>
  <c r="I86" i="2"/>
  <c r="L85" i="2"/>
  <c r="I85" i="2"/>
  <c r="L84" i="2"/>
  <c r="I84" i="2"/>
  <c r="L83" i="2"/>
  <c r="I83" i="2"/>
  <c r="L82" i="2"/>
  <c r="I82" i="2"/>
  <c r="L81" i="2"/>
  <c r="I81" i="2"/>
  <c r="L80" i="2"/>
  <c r="L79" i="2"/>
  <c r="L78" i="2"/>
  <c r="I78" i="2"/>
  <c r="L77" i="2"/>
  <c r="I77" i="2"/>
  <c r="L76" i="2"/>
  <c r="I76" i="2"/>
  <c r="L75" i="2"/>
  <c r="I75" i="2"/>
  <c r="L74" i="2"/>
  <c r="I74" i="2"/>
  <c r="L73" i="2"/>
  <c r="I73" i="2"/>
  <c r="L72" i="2"/>
  <c r="I72" i="2"/>
  <c r="L71" i="2"/>
  <c r="I71" i="2"/>
  <c r="L70" i="2"/>
  <c r="I70" i="2"/>
  <c r="L69" i="2"/>
  <c r="L68" i="2"/>
  <c r="L67" i="2"/>
  <c r="I67" i="2"/>
  <c r="L66" i="2"/>
  <c r="I66" i="2"/>
  <c r="L65" i="2"/>
  <c r="I65" i="2"/>
  <c r="L64" i="2"/>
  <c r="I64" i="2"/>
  <c r="L63" i="2"/>
  <c r="I63" i="2"/>
  <c r="L62" i="2"/>
  <c r="I62" i="2"/>
  <c r="L61" i="2"/>
  <c r="I61" i="2"/>
  <c r="L60" i="2"/>
  <c r="I60" i="2"/>
  <c r="L59" i="2"/>
  <c r="I59" i="2"/>
  <c r="L58" i="2"/>
  <c r="L57" i="2"/>
  <c r="L56" i="2"/>
  <c r="I56" i="2"/>
  <c r="L55" i="2"/>
  <c r="I55" i="2"/>
  <c r="L54" i="2"/>
  <c r="I54" i="2"/>
  <c r="L53" i="2"/>
  <c r="I53" i="2"/>
  <c r="L52" i="2"/>
  <c r="I52" i="2"/>
  <c r="L51" i="2"/>
  <c r="I51" i="2"/>
  <c r="L50" i="2"/>
  <c r="I50" i="2"/>
  <c r="L49" i="2"/>
  <c r="I49" i="2"/>
  <c r="L48" i="2"/>
  <c r="I48" i="2"/>
  <c r="L47" i="2"/>
  <c r="L46" i="2"/>
  <c r="L45" i="2"/>
  <c r="I45" i="2"/>
  <c r="L44" i="2"/>
  <c r="I44" i="2"/>
  <c r="L43" i="2"/>
  <c r="I43" i="2"/>
  <c r="L42" i="2"/>
  <c r="I42" i="2"/>
  <c r="L41" i="2"/>
  <c r="I41" i="2"/>
  <c r="L40" i="2"/>
  <c r="I40" i="2"/>
  <c r="L39" i="2"/>
  <c r="I39" i="2"/>
  <c r="L38" i="2"/>
  <c r="I38" i="2"/>
  <c r="L37" i="2"/>
  <c r="I37" i="2"/>
  <c r="L36" i="2"/>
  <c r="L35" i="2"/>
  <c r="L34" i="2"/>
  <c r="I34" i="2"/>
  <c r="L33" i="2"/>
  <c r="I33" i="2"/>
  <c r="L32" i="2"/>
  <c r="I32" i="2"/>
  <c r="L31" i="2"/>
  <c r="I31" i="2"/>
  <c r="L30" i="2"/>
  <c r="I30" i="2"/>
  <c r="L29" i="2"/>
  <c r="I29" i="2"/>
  <c r="L28" i="2"/>
  <c r="I28" i="2"/>
  <c r="L27" i="2"/>
  <c r="I27" i="2"/>
  <c r="L26" i="2"/>
  <c r="I26" i="2"/>
  <c r="L25" i="2"/>
  <c r="L24" i="2"/>
  <c r="L23" i="2"/>
  <c r="I23" i="2"/>
  <c r="L22" i="2"/>
  <c r="I22" i="2"/>
  <c r="L21" i="2"/>
  <c r="I21" i="2"/>
  <c r="L20" i="2"/>
  <c r="I20" i="2"/>
  <c r="L19" i="2"/>
  <c r="I19" i="2"/>
  <c r="L18" i="2"/>
  <c r="I18" i="2"/>
  <c r="L17" i="2"/>
  <c r="I17" i="2"/>
  <c r="L16" i="2"/>
  <c r="I16" i="2"/>
  <c r="L15" i="2"/>
  <c r="I15" i="2"/>
  <c r="L14" i="2"/>
  <c r="L13" i="2"/>
  <c r="L12" i="2"/>
  <c r="I12" i="2"/>
  <c r="L11" i="2"/>
  <c r="I11" i="2"/>
  <c r="L10" i="2"/>
  <c r="I10" i="2"/>
  <c r="L9" i="2"/>
  <c r="I9" i="2"/>
  <c r="L8" i="2"/>
  <c r="I8" i="2"/>
  <c r="L7" i="2"/>
  <c r="I7" i="2"/>
  <c r="L6" i="2"/>
  <c r="I6" i="2"/>
  <c r="L5" i="2"/>
  <c r="I5" i="2"/>
  <c r="L4" i="2"/>
  <c r="I4" i="2"/>
  <c r="L3" i="2"/>
  <c r="L2" i="2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5" i="1"/>
  <c r="N6" i="1"/>
  <c r="N4" i="1"/>
  <c r="N3" i="1"/>
  <c r="N2" i="1"/>
</calcChain>
</file>

<file path=xl/sharedStrings.xml><?xml version="1.0" encoding="utf-8"?>
<sst xmlns="http://schemas.openxmlformats.org/spreadsheetml/2006/main" count="1061" uniqueCount="108">
  <si>
    <t>Country</t>
  </si>
  <si>
    <t>Code</t>
  </si>
  <si>
    <t>Year</t>
  </si>
  <si>
    <t>Gini</t>
  </si>
  <si>
    <t>Depression_Rates</t>
  </si>
  <si>
    <t>GNI_per_Capita</t>
  </si>
  <si>
    <t>Internet_Users</t>
  </si>
  <si>
    <t>Population_In_Millions</t>
  </si>
  <si>
    <t>Sales_in_Millions</t>
  </si>
  <si>
    <t>Sales_Variations</t>
  </si>
  <si>
    <t>Stringency_Index</t>
  </si>
  <si>
    <t>Unemployment</t>
  </si>
  <si>
    <t>Sales_per_Capita</t>
  </si>
  <si>
    <t>Canada</t>
  </si>
  <si>
    <t>CAN</t>
  </si>
  <si>
    <t>Chile</t>
  </si>
  <si>
    <t>CHL</t>
  </si>
  <si>
    <t>China</t>
  </si>
  <si>
    <t>CHN</t>
  </si>
  <si>
    <t>Colombia</t>
  </si>
  <si>
    <t>COL</t>
  </si>
  <si>
    <t>Denmark</t>
  </si>
  <si>
    <t>DNK</t>
  </si>
  <si>
    <t>Egypt</t>
  </si>
  <si>
    <t>EGY</t>
  </si>
  <si>
    <t>Finland</t>
  </si>
  <si>
    <t>FIN</t>
  </si>
  <si>
    <t>France</t>
  </si>
  <si>
    <t>FRA</t>
  </si>
  <si>
    <t>Germany</t>
  </si>
  <si>
    <t>DEU</t>
  </si>
  <si>
    <t>Hong Kong</t>
  </si>
  <si>
    <t>HKG</t>
  </si>
  <si>
    <t>India</t>
  </si>
  <si>
    <t>IND</t>
  </si>
  <si>
    <t>Indonesia</t>
  </si>
  <si>
    <t>IDN</t>
  </si>
  <si>
    <t>Iran</t>
  </si>
  <si>
    <t>IRN</t>
  </si>
  <si>
    <t>Ireland</t>
  </si>
  <si>
    <t>IRL</t>
  </si>
  <si>
    <t>Israel</t>
  </si>
  <si>
    <t>ISR</t>
  </si>
  <si>
    <t>Italy</t>
  </si>
  <si>
    <t>ITA</t>
  </si>
  <si>
    <t>Japan</t>
  </si>
  <si>
    <t>JPN</t>
  </si>
  <si>
    <t>Malaysia</t>
  </si>
  <si>
    <t>MYS</t>
  </si>
  <si>
    <t>Mexico</t>
  </si>
  <si>
    <t>MEX</t>
  </si>
  <si>
    <t>Netherlands</t>
  </si>
  <si>
    <t>NLD</t>
  </si>
  <si>
    <t>Nigeria</t>
  </si>
  <si>
    <t>NGA</t>
  </si>
  <si>
    <t>Norway</t>
  </si>
  <si>
    <t>NOR</t>
  </si>
  <si>
    <t>Pakistan</t>
  </si>
  <si>
    <t>PAK</t>
  </si>
  <si>
    <t>Philippines</t>
  </si>
  <si>
    <t>PHL</t>
  </si>
  <si>
    <t>Poland</t>
  </si>
  <si>
    <t>POL</t>
  </si>
  <si>
    <t>Republic of Korea (South Korea)</t>
  </si>
  <si>
    <t>KOR</t>
  </si>
  <si>
    <t>Russian Federation</t>
  </si>
  <si>
    <t>RUS</t>
  </si>
  <si>
    <t>Saudi Arabia</t>
  </si>
  <si>
    <t>SAU</t>
  </si>
  <si>
    <t>Singapore</t>
  </si>
  <si>
    <t>SGP</t>
  </si>
  <si>
    <t>South Africa</t>
  </si>
  <si>
    <t>ZAF</t>
  </si>
  <si>
    <t>Spain</t>
  </si>
  <si>
    <t>ESP</t>
  </si>
  <si>
    <t>Sweden</t>
  </si>
  <si>
    <t>SWE</t>
  </si>
  <si>
    <t>Switzerland</t>
  </si>
  <si>
    <t>CHE</t>
  </si>
  <si>
    <t>Thailand</t>
  </si>
  <si>
    <t>THA</t>
  </si>
  <si>
    <t>Turkey</t>
  </si>
  <si>
    <t>TUR</t>
  </si>
  <si>
    <t>United Arab Emirates</t>
  </si>
  <si>
    <t>ARE</t>
  </si>
  <si>
    <t>United Kingdom</t>
  </si>
  <si>
    <t>GBR</t>
  </si>
  <si>
    <t>United States</t>
  </si>
  <si>
    <t>USA</t>
  </si>
  <si>
    <t>Vietnam</t>
  </si>
  <si>
    <t>VNM</t>
  </si>
  <si>
    <t>Continent</t>
  </si>
  <si>
    <t>Population_in_Millions</t>
  </si>
  <si>
    <t>Africa</t>
  </si>
  <si>
    <t>Americas - Latin America</t>
  </si>
  <si>
    <t>Americas - North America</t>
  </si>
  <si>
    <t>Asia - East Asia</t>
  </si>
  <si>
    <t>Asia - Middle East</t>
  </si>
  <si>
    <t>Asia - South Asia</t>
  </si>
  <si>
    <t>Asia - Southeast Asia</t>
  </si>
  <si>
    <t>Europe - Eastern Europe</t>
  </si>
  <si>
    <t>Europe - Northern Europe</t>
  </si>
  <si>
    <t>Europe - Southern Europe</t>
  </si>
  <si>
    <t>Europe - Western Europe</t>
  </si>
  <si>
    <t>Americas</t>
  </si>
  <si>
    <t>Asia</t>
  </si>
  <si>
    <t>Europe</t>
  </si>
  <si>
    <t>Stringency_Index0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</si>
</sst>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409]* #,##0.00_ ;_-[$$-409]* \-#,##0.00\ ;_-[$$-409]* &quot;-&quot;??_ ;_-@_ "/>
    <numFmt numFmtId="165" formatCode="_-* #,##0.00000_-;\-* #,##0.00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2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0" fontId="2" fillId="0" borderId="0" xfId="2" applyNumberFormat="1" applyFont="1"/>
    <xf numFmtId="9" fontId="2" fillId="0" borderId="0" xfId="2" applyFont="1" applyAlignment="1">
      <alignment horizontal="center"/>
    </xf>
    <xf numFmtId="9" fontId="2" fillId="0" borderId="0" xfId="2" applyFont="1"/>
    <xf numFmtId="10" fontId="0" fillId="0" borderId="0" xfId="2" applyNumberFormat="1" applyFont="1"/>
    <xf numFmtId="164" fontId="0" fillId="0" borderId="0" xfId="0" applyNumberFormat="1"/>
    <xf numFmtId="165" fontId="0" fillId="0" borderId="0" xfId="1" applyNumberFormat="1" applyFont="1"/>
    <xf numFmtId="9" fontId="0" fillId="0" borderId="0" xfId="2" applyFont="1"/>
    <xf numFmtId="43" fontId="2" fillId="0" borderId="0" xfId="1" applyFont="1" applyAlignment="1">
      <alignment horizontal="center"/>
    </xf>
    <xf numFmtId="43" fontId="0" fillId="0" borderId="0" xfId="1" applyFont="1"/>
  </cellXfs>
  <cellStyles count="3">
    <cellStyle name="Migliaia" xfId="1" builtinId="3"/>
    <cellStyle name="Normale" xfId="0" builtinId="0"/>
    <cellStyle name="Percentuale" xfId="2" builtinId="5"/>
  </cellStyles>
  <dxfs count="6">
    <dxf>
      <font>
        <color rgb="FF00B050"/>
      </font>
      <fill>
        <patternFill patternType="none">
          <fgColor indexed="64"/>
          <bgColor auto="1"/>
        </patternFill>
      </fill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0B32-77B2-4A41-8B5B-6E83F0A7EBD1}">
  <dimension ref="A1:N430"/>
  <sheetViews>
    <sheetView workbookViewId="0">
      <selection activeCell="M3" sqref="M3"/>
    </sheetView>
  </sheetViews>
  <sheetFormatPr defaultRowHeight="14.4" x14ac:dyDescent="0.3"/>
  <cols>
    <col min="5" max="5" width="15.88671875" bestFit="1" customWidth="1"/>
    <col min="6" max="6" width="15.21875" bestFit="1" customWidth="1"/>
    <col min="7" max="7" width="13.109375" bestFit="1" customWidth="1"/>
    <col min="8" max="8" width="21.33203125" bestFit="1" customWidth="1"/>
    <col min="9" max="9" width="16.33203125" style="10" bestFit="1" customWidth="1"/>
    <col min="10" max="10" width="14.88671875" bestFit="1" customWidth="1"/>
    <col min="11" max="11" width="15.21875" bestFit="1" customWidth="1"/>
    <col min="12" max="12" width="13.88671875" bestFit="1" customWidth="1"/>
    <col min="13" max="14" width="15.554687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4" t="s">
        <v>8</v>
      </c>
      <c r="J1" s="6" t="s">
        <v>9</v>
      </c>
      <c r="K1" s="7" t="s">
        <v>10</v>
      </c>
      <c r="L1" s="3" t="s">
        <v>11</v>
      </c>
      <c r="M1" s="8" t="s">
        <v>107</v>
      </c>
      <c r="N1" s="2" t="s">
        <v>12</v>
      </c>
    </row>
    <row r="2" spans="1:14" x14ac:dyDescent="0.3">
      <c r="A2" t="s">
        <v>13</v>
      </c>
      <c r="B2" t="s">
        <v>14</v>
      </c>
      <c r="C2">
        <v>2014</v>
      </c>
      <c r="D2" s="9">
        <v>0.33173000335693359</v>
      </c>
      <c r="E2" s="9">
        <v>3.5582356906721103E-2</v>
      </c>
      <c r="F2" s="10">
        <v>52200</v>
      </c>
      <c r="G2" s="9">
        <v>0.87120000000000009</v>
      </c>
      <c r="H2" s="11">
        <v>35.434066000000001</v>
      </c>
      <c r="J2" s="9"/>
      <c r="K2" s="12"/>
      <c r="L2" s="9">
        <v>7.0230000000000001E-2</v>
      </c>
      <c r="M2" s="12">
        <v>0</v>
      </c>
      <c r="N2" s="10">
        <f>I2/H2</f>
        <v>0</v>
      </c>
    </row>
    <row r="3" spans="1:14" x14ac:dyDescent="0.3">
      <c r="A3" t="s">
        <v>13</v>
      </c>
      <c r="B3" t="s">
        <v>14</v>
      </c>
      <c r="C3">
        <v>2015</v>
      </c>
      <c r="D3" s="9">
        <v>0.33750000000000002</v>
      </c>
      <c r="E3" s="9">
        <v>3.54976834235914E-2</v>
      </c>
      <c r="F3" s="10">
        <v>47580</v>
      </c>
      <c r="G3" s="9">
        <v>0.9</v>
      </c>
      <c r="H3" s="11">
        <v>35.704498000000001</v>
      </c>
      <c r="I3" s="10">
        <v>673.69445551558022</v>
      </c>
      <c r="J3" s="9"/>
      <c r="K3" s="12"/>
      <c r="L3" s="9">
        <v>6.9449999999999998E-2</v>
      </c>
      <c r="M3" s="12">
        <v>0</v>
      </c>
      <c r="N3" s="10">
        <f>I3/H3</f>
        <v>18.868615811811168</v>
      </c>
    </row>
    <row r="4" spans="1:14" x14ac:dyDescent="0.3">
      <c r="A4" t="s">
        <v>13</v>
      </c>
      <c r="B4" t="s">
        <v>14</v>
      </c>
      <c r="C4">
        <v>2016</v>
      </c>
      <c r="D4" s="9">
        <v>0.32778999328613279</v>
      </c>
      <c r="E4" s="9">
        <v>3.5631826267186202E-2</v>
      </c>
      <c r="F4" s="10">
        <v>43900</v>
      </c>
      <c r="G4" s="9">
        <v>0.91159999999999997</v>
      </c>
      <c r="H4" s="11">
        <v>36.110802999999997</v>
      </c>
      <c r="I4" s="10">
        <v>709.68827074526382</v>
      </c>
      <c r="J4" s="9">
        <v>5.3650547369994417E-2</v>
      </c>
      <c r="K4" s="12"/>
      <c r="L4" s="9">
        <v>7.0379999999999998E-2</v>
      </c>
      <c r="M4" s="12">
        <v>0</v>
      </c>
      <c r="N4" s="10">
        <f>I4/H4</f>
        <v>19.653073645171055</v>
      </c>
    </row>
    <row r="5" spans="1:14" x14ac:dyDescent="0.3">
      <c r="A5" t="s">
        <v>13</v>
      </c>
      <c r="B5" t="s">
        <v>14</v>
      </c>
      <c r="C5">
        <v>2017</v>
      </c>
      <c r="D5" s="9">
        <v>0.3333000183105469</v>
      </c>
      <c r="E5" s="9">
        <v>3.6277481740279303E-2</v>
      </c>
      <c r="F5" s="10">
        <v>42900</v>
      </c>
      <c r="G5" s="9">
        <v>0.92701400000000012</v>
      </c>
      <c r="H5" s="11">
        <v>36.545074999999997</v>
      </c>
      <c r="I5" s="10">
        <v>816.75418936121355</v>
      </c>
      <c r="J5" s="9">
        <v>0.15129177774965119</v>
      </c>
      <c r="K5" s="12"/>
      <c r="L5" s="9">
        <v>6.4259999999999998E-2</v>
      </c>
      <c r="M5" s="12">
        <v>0</v>
      </c>
      <c r="N5" s="10">
        <f>I5/H5</f>
        <v>22.349227340789795</v>
      </c>
    </row>
    <row r="6" spans="1:14" x14ac:dyDescent="0.3">
      <c r="A6" t="s">
        <v>13</v>
      </c>
      <c r="B6" t="s">
        <v>14</v>
      </c>
      <c r="C6">
        <v>2018</v>
      </c>
      <c r="D6" s="9">
        <v>0.32536998748779294</v>
      </c>
      <c r="E6" s="9">
        <v>3.6549327653085398E-2</v>
      </c>
      <c r="F6" s="10">
        <v>45060</v>
      </c>
      <c r="G6" s="9">
        <v>0.94640000000000002</v>
      </c>
      <c r="H6" s="11">
        <v>37.072620000000001</v>
      </c>
      <c r="I6" s="10">
        <v>981.76075339530666</v>
      </c>
      <c r="J6" s="9">
        <v>0.20349583989648057</v>
      </c>
      <c r="K6" s="12"/>
      <c r="L6" s="9">
        <v>5.8369999999999998E-2</v>
      </c>
      <c r="M6" s="12">
        <v>0</v>
      </c>
      <c r="N6" s="10">
        <f>I6/H6</f>
        <v>26.482097930907141</v>
      </c>
    </row>
    <row r="7" spans="1:14" x14ac:dyDescent="0.3">
      <c r="A7" t="s">
        <v>13</v>
      </c>
      <c r="B7" t="s">
        <v>14</v>
      </c>
      <c r="C7">
        <v>2019</v>
      </c>
      <c r="D7" s="9">
        <v>0.31760000228881841</v>
      </c>
      <c r="E7" s="9">
        <v>3.5594346034012597E-2</v>
      </c>
      <c r="F7" s="10">
        <v>46580</v>
      </c>
      <c r="G7" s="9">
        <v>0.91912899999999997</v>
      </c>
      <c r="H7" s="11">
        <v>37.618495000000003</v>
      </c>
      <c r="I7" s="10">
        <v>1064.829411138209</v>
      </c>
      <c r="J7" s="9">
        <v>8.5004722628134521E-2</v>
      </c>
      <c r="K7" s="12"/>
      <c r="L7" s="9">
        <v>5.6900000000000006E-2</v>
      </c>
      <c r="M7" s="12">
        <v>0</v>
      </c>
      <c r="N7" s="10">
        <f t="shared" ref="N7:N70" si="0">I7/H7</f>
        <v>28.306007753319449</v>
      </c>
    </row>
    <row r="8" spans="1:14" x14ac:dyDescent="0.3">
      <c r="A8" t="s">
        <v>13</v>
      </c>
      <c r="B8" t="s">
        <v>14</v>
      </c>
      <c r="C8">
        <v>2020</v>
      </c>
      <c r="D8" s="9">
        <v>0.29864999771118161</v>
      </c>
      <c r="E8" s="9">
        <v>4.1431468489117197E-2</v>
      </c>
      <c r="F8" s="10">
        <v>43900</v>
      </c>
      <c r="G8" s="9">
        <v>0.92299999999999993</v>
      </c>
      <c r="H8" s="11">
        <v>38.028638000000001</v>
      </c>
      <c r="I8" s="10">
        <v>1191.9629785362949</v>
      </c>
      <c r="J8" s="9">
        <v>0.12232221708300406</v>
      </c>
      <c r="K8" s="12">
        <v>0.55794918032786878</v>
      </c>
      <c r="L8" s="9">
        <v>9.6570000000000003E-2</v>
      </c>
      <c r="M8" s="12">
        <v>0.55794918032786878</v>
      </c>
      <c r="N8" s="10">
        <f t="shared" si="0"/>
        <v>31.343825107180933</v>
      </c>
    </row>
    <row r="9" spans="1:14" x14ac:dyDescent="0.3">
      <c r="A9" t="s">
        <v>13</v>
      </c>
      <c r="B9" t="s">
        <v>14</v>
      </c>
      <c r="C9">
        <v>2021</v>
      </c>
      <c r="D9" s="9">
        <v>0.29864999771118161</v>
      </c>
      <c r="E9" s="9">
        <v>4.1165394094036599E-2</v>
      </c>
      <c r="F9" s="10">
        <v>49080</v>
      </c>
      <c r="G9" s="9">
        <v>0.93937099999999996</v>
      </c>
      <c r="H9" s="11">
        <v>38.239863999999997</v>
      </c>
      <c r="I9" s="10">
        <v>1573.028826291014</v>
      </c>
      <c r="J9" s="9">
        <v>0.31675654198368974</v>
      </c>
      <c r="K9" s="12">
        <v>0.69412931506849307</v>
      </c>
      <c r="L9" s="9">
        <v>7.5270000000000004E-2</v>
      </c>
      <c r="M9" s="12">
        <v>0.69412931506849307</v>
      </c>
      <c r="N9" s="10">
        <f t="shared" si="0"/>
        <v>41.13583736309873</v>
      </c>
    </row>
    <row r="10" spans="1:14" x14ac:dyDescent="0.3">
      <c r="A10" t="s">
        <v>13</v>
      </c>
      <c r="B10" t="s">
        <v>14</v>
      </c>
      <c r="C10">
        <v>2022</v>
      </c>
      <c r="D10" s="9">
        <v>0.29864999771118161</v>
      </c>
      <c r="E10" s="9">
        <v>3.9223211848810599E-2</v>
      </c>
      <c r="F10" s="10">
        <v>53850</v>
      </c>
      <c r="G10" s="9">
        <v>0.94</v>
      </c>
      <c r="H10" s="11">
        <v>38.935934000000003</v>
      </c>
      <c r="I10" s="10">
        <v>1509.0203183658321</v>
      </c>
      <c r="J10" s="9">
        <v>-4.2359309239464848E-2</v>
      </c>
      <c r="K10" s="12">
        <v>0.25710794520547947</v>
      </c>
      <c r="L10" s="9">
        <v>5.2789999999999997E-2</v>
      </c>
      <c r="M10" s="12">
        <v>0.25710794520547947</v>
      </c>
      <c r="N10" s="10">
        <f t="shared" si="0"/>
        <v>38.756494665463322</v>
      </c>
    </row>
    <row r="11" spans="1:14" x14ac:dyDescent="0.3">
      <c r="A11" t="s">
        <v>13</v>
      </c>
      <c r="B11" t="s">
        <v>14</v>
      </c>
      <c r="C11">
        <v>2023</v>
      </c>
      <c r="D11" s="9"/>
      <c r="E11" s="9">
        <v>4.1550946095962098E-2</v>
      </c>
      <c r="F11" s="10">
        <v>54660</v>
      </c>
      <c r="G11" s="9">
        <v>0.93956400000000007</v>
      </c>
      <c r="H11" s="11">
        <v>40.083483999999999</v>
      </c>
      <c r="I11" s="10">
        <v>1672.9076193524511</v>
      </c>
      <c r="J11" s="9">
        <v>0.10804270470123978</v>
      </c>
      <c r="K11" s="12"/>
      <c r="L11" s="9">
        <v>5.4150000000000004E-2</v>
      </c>
      <c r="M11" s="12">
        <v>0</v>
      </c>
      <c r="N11" s="10">
        <f t="shared" si="0"/>
        <v>41.735584146139871</v>
      </c>
    </row>
    <row r="12" spans="1:14" x14ac:dyDescent="0.3">
      <c r="A12" t="s">
        <v>13</v>
      </c>
      <c r="B12" t="s">
        <v>14</v>
      </c>
      <c r="C12">
        <v>2024</v>
      </c>
      <c r="D12" s="9"/>
      <c r="E12" s="9"/>
      <c r="F12" s="10">
        <v>53400</v>
      </c>
      <c r="G12" s="9"/>
      <c r="H12" s="11">
        <v>41.288598999999998</v>
      </c>
      <c r="I12" s="10">
        <v>1774.8735909887901</v>
      </c>
      <c r="J12" s="9">
        <v>6.0918415719572572E-2</v>
      </c>
      <c r="K12" s="12"/>
      <c r="L12" s="9">
        <v>6.3509999999999997E-2</v>
      </c>
      <c r="M12" s="12">
        <v>0</v>
      </c>
      <c r="N12" s="10">
        <f t="shared" si="0"/>
        <v>42.987014187349637</v>
      </c>
    </row>
    <row r="13" spans="1:14" x14ac:dyDescent="0.3">
      <c r="A13" t="s">
        <v>15</v>
      </c>
      <c r="B13" t="s">
        <v>16</v>
      </c>
      <c r="C13">
        <v>2014</v>
      </c>
      <c r="D13" s="9">
        <v>0.47972000122070313</v>
      </c>
      <c r="E13" s="9">
        <v>4.0126159831091003E-2</v>
      </c>
      <c r="F13" s="10">
        <v>14690</v>
      </c>
      <c r="G13" s="9">
        <v>0.61109999999999998</v>
      </c>
      <c r="H13" s="11">
        <v>17.864194999999999</v>
      </c>
      <c r="J13" s="9"/>
      <c r="K13" s="12"/>
      <c r="L13" s="9">
        <v>6.7610000000000003E-2</v>
      </c>
      <c r="M13" s="12">
        <v>0</v>
      </c>
      <c r="N13" s="10">
        <f t="shared" si="0"/>
        <v>0</v>
      </c>
    </row>
    <row r="14" spans="1:14" x14ac:dyDescent="0.3">
      <c r="A14" t="s">
        <v>15</v>
      </c>
      <c r="B14" t="s">
        <v>16</v>
      </c>
      <c r="C14">
        <v>2015</v>
      </c>
      <c r="D14" s="9">
        <v>0.47541999816894531</v>
      </c>
      <c r="E14" s="9">
        <v>4.2949953809223E-2</v>
      </c>
      <c r="F14" s="10">
        <v>14080</v>
      </c>
      <c r="G14" s="9">
        <v>0.76629599999999998</v>
      </c>
      <c r="H14" s="11">
        <v>18.047625</v>
      </c>
      <c r="I14" s="10">
        <v>94.780035625611902</v>
      </c>
      <c r="J14" s="9"/>
      <c r="K14" s="12"/>
      <c r="L14" s="9">
        <v>6.6049999999999998E-2</v>
      </c>
      <c r="M14" s="12">
        <v>0</v>
      </c>
      <c r="N14" s="10">
        <f t="shared" si="0"/>
        <v>5.2516625110291191</v>
      </c>
    </row>
    <row r="15" spans="1:14" x14ac:dyDescent="0.3">
      <c r="A15" t="s">
        <v>15</v>
      </c>
      <c r="B15" t="s">
        <v>16</v>
      </c>
      <c r="C15">
        <v>2016</v>
      </c>
      <c r="D15" s="9">
        <v>0.47905998229980468</v>
      </c>
      <c r="E15" s="9">
        <v>4.0256347334723698E-2</v>
      </c>
      <c r="F15" s="10">
        <v>13310</v>
      </c>
      <c r="G15" s="9">
        <v>0.83558599999999994</v>
      </c>
      <c r="H15" s="11">
        <v>18.267220999999999</v>
      </c>
      <c r="I15" s="10">
        <v>100.60998363633369</v>
      </c>
      <c r="J15" s="9">
        <v>6.1735047362510453E-2</v>
      </c>
      <c r="K15" s="12"/>
      <c r="L15" s="9">
        <v>6.9260000000000002E-2</v>
      </c>
      <c r="M15" s="12">
        <v>0</v>
      </c>
      <c r="N15" s="10">
        <f t="shared" si="0"/>
        <v>5.5076786795503105</v>
      </c>
    </row>
    <row r="16" spans="1:14" x14ac:dyDescent="0.3">
      <c r="A16" t="s">
        <v>15</v>
      </c>
      <c r="B16" t="s">
        <v>16</v>
      </c>
      <c r="C16">
        <v>2017</v>
      </c>
      <c r="D16" s="9">
        <v>0.48270000457763673</v>
      </c>
      <c r="E16" s="9">
        <v>4.2373346134247501E-2</v>
      </c>
      <c r="F16" s="10">
        <v>13200</v>
      </c>
      <c r="G16" s="9">
        <v>0.82327499999999998</v>
      </c>
      <c r="H16" s="11">
        <v>18.558868</v>
      </c>
      <c r="I16" s="10">
        <v>116.0935812313238</v>
      </c>
      <c r="J16" s="9">
        <v>0.15432682953016474</v>
      </c>
      <c r="K16" s="12"/>
      <c r="L16" s="9">
        <v>7.2569999999999996E-2</v>
      </c>
      <c r="M16" s="12">
        <v>0</v>
      </c>
      <c r="N16" s="10">
        <f t="shared" si="0"/>
        <v>6.2554236191196466</v>
      </c>
    </row>
    <row r="17" spans="1:14" x14ac:dyDescent="0.3">
      <c r="A17" t="s">
        <v>15</v>
      </c>
      <c r="B17" t="s">
        <v>16</v>
      </c>
      <c r="C17">
        <v>2018</v>
      </c>
      <c r="D17" s="9">
        <v>0.49139999389648437</v>
      </c>
      <c r="E17" s="9">
        <v>4.2555348141979997E-2</v>
      </c>
      <c r="F17" s="10">
        <v>14460</v>
      </c>
      <c r="G17" s="9">
        <v>0.84900000000000009</v>
      </c>
      <c r="H17" s="11">
        <v>18.893191000000002</v>
      </c>
      <c r="I17" s="10">
        <v>146.7272256431016</v>
      </c>
      <c r="J17" s="9">
        <v>0.26541446541305391</v>
      </c>
      <c r="K17" s="12"/>
      <c r="L17" s="9">
        <v>7.6230000000000006E-2</v>
      </c>
      <c r="M17" s="12">
        <v>0</v>
      </c>
      <c r="N17" s="10">
        <f t="shared" si="0"/>
        <v>7.7661431381867461</v>
      </c>
    </row>
    <row r="18" spans="1:14" x14ac:dyDescent="0.3">
      <c r="A18" t="s">
        <v>15</v>
      </c>
      <c r="B18" t="s">
        <v>16</v>
      </c>
      <c r="C18">
        <v>2019</v>
      </c>
      <c r="D18" s="9">
        <v>0.50011001586914061</v>
      </c>
      <c r="E18" s="9">
        <v>5.2562204212089798E-2</v>
      </c>
      <c r="F18" s="10">
        <v>14690</v>
      </c>
      <c r="G18" s="9">
        <v>0.85017600000000004</v>
      </c>
      <c r="H18" s="11">
        <v>19.197744</v>
      </c>
      <c r="I18" s="10">
        <v>157.73553270496279</v>
      </c>
      <c r="J18" s="9">
        <v>7.5414996304675297E-2</v>
      </c>
      <c r="K18" s="12"/>
      <c r="L18" s="9">
        <v>7.4929999999999997E-2</v>
      </c>
      <c r="M18" s="12">
        <v>0</v>
      </c>
      <c r="N18" s="10">
        <f t="shared" si="0"/>
        <v>8.2163577504191529</v>
      </c>
    </row>
    <row r="19" spans="1:14" x14ac:dyDescent="0.3">
      <c r="A19" t="s">
        <v>15</v>
      </c>
      <c r="B19" t="s">
        <v>16</v>
      </c>
      <c r="C19">
        <v>2020</v>
      </c>
      <c r="D19" s="9">
        <v>0.50881000518798825</v>
      </c>
      <c r="E19" s="9">
        <v>5.4278099915267997E-2</v>
      </c>
      <c r="F19" s="10">
        <v>12960</v>
      </c>
      <c r="G19" s="9">
        <v>0.87459299999999995</v>
      </c>
      <c r="H19" s="11">
        <v>19.370623999999999</v>
      </c>
      <c r="I19" s="10">
        <v>169.28477644508661</v>
      </c>
      <c r="J19" s="9">
        <v>7.6027074447796883E-2</v>
      </c>
      <c r="K19" s="12">
        <v>0.65165983606557376</v>
      </c>
      <c r="L19" s="9">
        <v>0.10933999999999999</v>
      </c>
      <c r="M19" s="12">
        <v>0.65165983606557376</v>
      </c>
      <c r="N19" s="10">
        <f t="shared" si="0"/>
        <v>8.7392526149434637</v>
      </c>
    </row>
    <row r="20" spans="1:14" x14ac:dyDescent="0.3">
      <c r="A20" t="s">
        <v>15</v>
      </c>
      <c r="B20" t="s">
        <v>16</v>
      </c>
      <c r="C20">
        <v>2021</v>
      </c>
      <c r="D20" s="9">
        <v>0.48740001678466799</v>
      </c>
      <c r="E20" s="9">
        <v>5.3452823318343397E-2</v>
      </c>
      <c r="F20" s="10">
        <v>14790</v>
      </c>
      <c r="G20" s="9">
        <v>0.90232800000000002</v>
      </c>
      <c r="H20" s="11">
        <v>19.456333999999998</v>
      </c>
      <c r="I20" s="10">
        <v>223.06272167823951</v>
      </c>
      <c r="J20" s="9">
        <v>0.31474238103911434</v>
      </c>
      <c r="K20" s="12">
        <v>0.64630602739726029</v>
      </c>
      <c r="L20" s="9">
        <v>9.2810000000000004E-2</v>
      </c>
      <c r="M20" s="12">
        <v>0.64630602739726029</v>
      </c>
      <c r="N20" s="10">
        <f t="shared" si="0"/>
        <v>11.464786823573215</v>
      </c>
    </row>
    <row r="21" spans="1:14" x14ac:dyDescent="0.3">
      <c r="A21" t="s">
        <v>15</v>
      </c>
      <c r="B21" t="s">
        <v>16</v>
      </c>
      <c r="C21">
        <v>2022</v>
      </c>
      <c r="D21" s="9">
        <v>0.46597999572753912</v>
      </c>
      <c r="E21" s="9">
        <v>5.46127911239482E-2</v>
      </c>
      <c r="F21" s="10">
        <v>15440</v>
      </c>
      <c r="G21" s="9">
        <v>0.93537700000000001</v>
      </c>
      <c r="H21" s="11">
        <v>19.553035999999999</v>
      </c>
      <c r="I21" s="10">
        <v>203.16998092275159</v>
      </c>
      <c r="J21" s="9">
        <v>-9.0763779503300501E-2</v>
      </c>
      <c r="K21" s="12">
        <v>0.24326438356164382</v>
      </c>
      <c r="L21" s="9">
        <v>8.2490000000000008E-2</v>
      </c>
      <c r="M21" s="12">
        <v>0.24326438356164382</v>
      </c>
      <c r="N21" s="10">
        <f t="shared" si="0"/>
        <v>10.390712773338707</v>
      </c>
    </row>
    <row r="22" spans="1:14" x14ac:dyDescent="0.3">
      <c r="A22" t="s">
        <v>15</v>
      </c>
      <c r="B22" t="s">
        <v>16</v>
      </c>
      <c r="C22">
        <v>2023</v>
      </c>
      <c r="D22" s="9"/>
      <c r="E22" s="9"/>
      <c r="F22" s="10">
        <v>15950</v>
      </c>
      <c r="G22" s="9">
        <v>0.94457400000000002</v>
      </c>
      <c r="H22" s="11">
        <v>19.658835</v>
      </c>
      <c r="I22" s="10">
        <v>238.59418066328149</v>
      </c>
      <c r="J22" s="9">
        <v>0.17376169941026731</v>
      </c>
      <c r="K22" s="12"/>
      <c r="L22" s="9">
        <v>9.0130000000000002E-2</v>
      </c>
      <c r="M22" s="12">
        <v>0</v>
      </c>
      <c r="N22" s="10">
        <f t="shared" si="0"/>
        <v>12.136740588304519</v>
      </c>
    </row>
    <row r="23" spans="1:14" x14ac:dyDescent="0.3">
      <c r="A23" t="s">
        <v>15</v>
      </c>
      <c r="B23" t="s">
        <v>16</v>
      </c>
      <c r="C23">
        <v>2024</v>
      </c>
      <c r="D23" s="9"/>
      <c r="E23" s="9">
        <v>3.70243325935131E-2</v>
      </c>
      <c r="F23" s="10">
        <v>15750</v>
      </c>
      <c r="G23" s="9"/>
      <c r="H23" s="11">
        <v>19.764771</v>
      </c>
      <c r="I23" s="10">
        <v>216.9972385604915</v>
      </c>
      <c r="J23" s="9">
        <v>-9.054570132929507E-2</v>
      </c>
      <c r="K23" s="12"/>
      <c r="L23" s="9">
        <v>8.7179999999999994E-2</v>
      </c>
      <c r="M23" s="12">
        <v>0</v>
      </c>
      <c r="N23" s="10">
        <f t="shared" si="0"/>
        <v>10.9789907791237</v>
      </c>
    </row>
    <row r="24" spans="1:14" x14ac:dyDescent="0.3">
      <c r="A24" t="s">
        <v>17</v>
      </c>
      <c r="B24" t="s">
        <v>18</v>
      </c>
      <c r="C24">
        <v>2014</v>
      </c>
      <c r="D24" s="9">
        <v>0.43020000457763674</v>
      </c>
      <c r="E24" s="9">
        <v>3.7838105098387601E-2</v>
      </c>
      <c r="F24" s="10">
        <v>7600</v>
      </c>
      <c r="G24" s="9">
        <v>0.47899999999999998</v>
      </c>
      <c r="H24" s="11">
        <v>1371.86</v>
      </c>
      <c r="J24" s="9"/>
      <c r="K24" s="12"/>
      <c r="L24" s="9">
        <v>4.6300000000000001E-2</v>
      </c>
      <c r="M24" s="12">
        <v>0</v>
      </c>
      <c r="N24" s="10">
        <f t="shared" si="0"/>
        <v>0</v>
      </c>
    </row>
    <row r="25" spans="1:14" x14ac:dyDescent="0.3">
      <c r="A25" t="s">
        <v>17</v>
      </c>
      <c r="B25" t="s">
        <v>18</v>
      </c>
      <c r="C25">
        <v>2015</v>
      </c>
      <c r="D25" s="9">
        <v>0.43083000183105469</v>
      </c>
      <c r="E25" s="9">
        <v>3.8094752740649301E-2</v>
      </c>
      <c r="F25" s="10">
        <v>8040</v>
      </c>
      <c r="G25" s="9">
        <v>0.503</v>
      </c>
      <c r="H25" s="11">
        <v>1379.86</v>
      </c>
      <c r="I25" s="10">
        <v>6049.2758995883642</v>
      </c>
      <c r="J25" s="9"/>
      <c r="K25" s="12"/>
      <c r="L25" s="9">
        <v>4.6500000000000007E-2</v>
      </c>
      <c r="M25" s="12">
        <v>0</v>
      </c>
      <c r="N25" s="10">
        <f t="shared" si="0"/>
        <v>4.383978011963797</v>
      </c>
    </row>
    <row r="26" spans="1:14" x14ac:dyDescent="0.3">
      <c r="A26" t="s">
        <v>17</v>
      </c>
      <c r="B26" t="s">
        <v>18</v>
      </c>
      <c r="C26">
        <v>2016</v>
      </c>
      <c r="D26" s="9">
        <v>0.43261001586914061</v>
      </c>
      <c r="E26" s="9">
        <v>3.8344470914685798E-2</v>
      </c>
      <c r="F26" s="10">
        <v>8360</v>
      </c>
      <c r="G26" s="9">
        <v>0.53200000000000003</v>
      </c>
      <c r="H26" s="11">
        <v>1387.79</v>
      </c>
      <c r="I26" s="10">
        <v>7889.7983684973042</v>
      </c>
      <c r="J26" s="9">
        <v>0.30453115262654507</v>
      </c>
      <c r="K26" s="12"/>
      <c r="L26" s="9">
        <v>4.5599999999999995E-2</v>
      </c>
      <c r="M26" s="12">
        <v>0</v>
      </c>
      <c r="N26" s="10">
        <f t="shared" si="0"/>
        <v>5.6851529183070237</v>
      </c>
    </row>
    <row r="27" spans="1:14" x14ac:dyDescent="0.3">
      <c r="A27" t="s">
        <v>17</v>
      </c>
      <c r="B27" t="s">
        <v>18</v>
      </c>
      <c r="C27">
        <v>2017</v>
      </c>
      <c r="D27" s="9">
        <v>0.43676998138427725</v>
      </c>
      <c r="E27" s="9">
        <v>3.8780225628410603E-2</v>
      </c>
      <c r="F27" s="10">
        <v>8830</v>
      </c>
      <c r="G27" s="9">
        <v>0.54299999999999993</v>
      </c>
      <c r="H27" s="11">
        <v>1396.2149999999999</v>
      </c>
      <c r="I27" s="10">
        <v>8009.7125730423713</v>
      </c>
      <c r="J27" s="9">
        <v>1.5576603269401135E-2</v>
      </c>
      <c r="K27" s="12"/>
      <c r="L27" s="9">
        <v>4.4699999999999997E-2</v>
      </c>
      <c r="M27" s="12">
        <v>0</v>
      </c>
      <c r="N27" s="10">
        <f t="shared" si="0"/>
        <v>5.7367329337117647</v>
      </c>
    </row>
    <row r="28" spans="1:14" x14ac:dyDescent="0.3">
      <c r="A28" t="s">
        <v>17</v>
      </c>
      <c r="B28" t="s">
        <v>18</v>
      </c>
      <c r="C28">
        <v>2018</v>
      </c>
      <c r="D28" s="9">
        <v>0.44509998321533201</v>
      </c>
      <c r="E28" s="9">
        <v>4.1223762432501802E-2</v>
      </c>
      <c r="F28" s="10">
        <v>9720</v>
      </c>
      <c r="G28" s="9">
        <v>0.59200000000000008</v>
      </c>
      <c r="H28" s="11">
        <v>1402.76</v>
      </c>
      <c r="I28" s="10">
        <v>8621.9799252063458</v>
      </c>
      <c r="J28" s="9">
        <v>7.7755810253775648E-2</v>
      </c>
      <c r="K28" s="12"/>
      <c r="L28" s="9">
        <v>4.3099999999999999E-2</v>
      </c>
      <c r="M28" s="12">
        <v>0</v>
      </c>
      <c r="N28" s="10">
        <f t="shared" si="0"/>
        <v>6.1464398223547478</v>
      </c>
    </row>
    <row r="29" spans="1:14" x14ac:dyDescent="0.3">
      <c r="A29" t="s">
        <v>17</v>
      </c>
      <c r="B29" t="s">
        <v>18</v>
      </c>
      <c r="C29">
        <v>2019</v>
      </c>
      <c r="D29" s="9">
        <v>0.44073001861572275</v>
      </c>
      <c r="E29" s="9">
        <v>4.1325090310423501E-2</v>
      </c>
      <c r="F29" s="10">
        <v>10510</v>
      </c>
      <c r="G29" s="9">
        <v>0.64080899999999996</v>
      </c>
      <c r="H29" s="11">
        <v>1407.7449999999999</v>
      </c>
      <c r="I29" s="10">
        <v>9693.7030429013521</v>
      </c>
      <c r="J29" s="9">
        <v>0.12470845866632474</v>
      </c>
      <c r="K29" s="12"/>
      <c r="L29" s="9">
        <v>4.5599999999999995E-2</v>
      </c>
      <c r="M29" s="12">
        <v>0</v>
      </c>
      <c r="N29" s="10">
        <f t="shared" si="0"/>
        <v>6.8859793804285241</v>
      </c>
    </row>
    <row r="30" spans="1:14" x14ac:dyDescent="0.3">
      <c r="A30" t="s">
        <v>17</v>
      </c>
      <c r="B30" t="s">
        <v>18</v>
      </c>
      <c r="C30">
        <v>2020</v>
      </c>
      <c r="D30" s="9">
        <v>0.4408300018310547</v>
      </c>
      <c r="E30" s="9">
        <v>4.2410147235994199E-2</v>
      </c>
      <c r="F30" s="10">
        <v>10740</v>
      </c>
      <c r="G30" s="9">
        <v>0.70052800000000004</v>
      </c>
      <c r="H30" s="11">
        <v>1411.1</v>
      </c>
      <c r="I30" s="10">
        <v>10384.449156357159</v>
      </c>
      <c r="J30" s="9">
        <v>7.4060102408267436E-2</v>
      </c>
      <c r="K30" s="12">
        <v>0.68273387978142064</v>
      </c>
      <c r="L30" s="9">
        <v>0.05</v>
      </c>
      <c r="M30" s="12">
        <v>0.68273387978142064</v>
      </c>
      <c r="N30" s="10">
        <f t="shared" si="0"/>
        <v>7.3591164030594287</v>
      </c>
    </row>
    <row r="31" spans="1:14" x14ac:dyDescent="0.3">
      <c r="A31" t="s">
        <v>17</v>
      </c>
      <c r="B31" t="s">
        <v>18</v>
      </c>
      <c r="C31">
        <v>2021</v>
      </c>
      <c r="D31" s="9">
        <v>0.43473999023437498</v>
      </c>
      <c r="E31" s="9">
        <v>4.3081065821574102E-2</v>
      </c>
      <c r="F31" s="10">
        <v>12220</v>
      </c>
      <c r="G31" s="9">
        <v>0.73053200000000007</v>
      </c>
      <c r="H31" s="11">
        <v>1412.36</v>
      </c>
      <c r="I31" s="10">
        <v>11143.88325892148</v>
      </c>
      <c r="J31" s="9">
        <v>7.0741559832330658E-2</v>
      </c>
      <c r="K31" s="12">
        <v>0.74116054794520547</v>
      </c>
      <c r="L31" s="9">
        <v>4.5499999999999999E-2</v>
      </c>
      <c r="M31" s="12">
        <v>0.74116054794520547</v>
      </c>
      <c r="N31" s="10">
        <f t="shared" si="0"/>
        <v>7.890256916736158</v>
      </c>
    </row>
    <row r="32" spans="1:14" x14ac:dyDescent="0.3">
      <c r="A32" t="s">
        <v>17</v>
      </c>
      <c r="B32" t="s">
        <v>18</v>
      </c>
      <c r="C32">
        <v>2022</v>
      </c>
      <c r="D32" s="9">
        <v>0.43563999176025392</v>
      </c>
      <c r="E32" s="9"/>
      <c r="F32" s="10">
        <v>13170</v>
      </c>
      <c r="G32" s="9">
        <v>0.75611300000000004</v>
      </c>
      <c r="H32" s="11">
        <v>1412.175</v>
      </c>
      <c r="I32" s="10">
        <v>10965.296663622439</v>
      </c>
      <c r="J32" s="9">
        <v>-1.7736475580740541E-2</v>
      </c>
      <c r="K32" s="12">
        <v>0.77564000000000011</v>
      </c>
      <c r="L32" s="9">
        <v>4.9800000000000004E-2</v>
      </c>
      <c r="M32" s="12">
        <v>0.77564000000000011</v>
      </c>
      <c r="N32" s="10">
        <f t="shared" si="0"/>
        <v>7.7648284834545569</v>
      </c>
    </row>
    <row r="33" spans="1:14" x14ac:dyDescent="0.3">
      <c r="A33" t="s">
        <v>17</v>
      </c>
      <c r="B33" t="s">
        <v>18</v>
      </c>
      <c r="C33">
        <v>2023</v>
      </c>
      <c r="D33" s="9"/>
      <c r="E33" s="9"/>
      <c r="F33" s="10">
        <v>13750</v>
      </c>
      <c r="G33" s="9">
        <v>0.90599999999999992</v>
      </c>
      <c r="H33" s="11">
        <v>1410.71</v>
      </c>
      <c r="I33" s="10">
        <v>10946.69572068649</v>
      </c>
      <c r="J33" s="9">
        <v>-2.2027849615900985E-3</v>
      </c>
      <c r="K33" s="12"/>
      <c r="L33" s="9">
        <v>4.6699999999999998E-2</v>
      </c>
      <c r="M33" s="12">
        <v>0</v>
      </c>
      <c r="N33" s="10">
        <f t="shared" si="0"/>
        <v>7.7597066163041939</v>
      </c>
    </row>
    <row r="34" spans="1:14" x14ac:dyDescent="0.3">
      <c r="A34" t="s">
        <v>17</v>
      </c>
      <c r="B34" t="s">
        <v>18</v>
      </c>
      <c r="C34">
        <v>2024</v>
      </c>
      <c r="D34" s="9"/>
      <c r="E34" s="9"/>
      <c r="F34" s="10">
        <v>13660</v>
      </c>
      <c r="G34" s="9">
        <v>0.92</v>
      </c>
      <c r="H34" s="11">
        <v>1408.9749999999999</v>
      </c>
      <c r="I34" s="10">
        <v>12774.187864563241</v>
      </c>
      <c r="J34" s="9">
        <v>0.16690841656174005</v>
      </c>
      <c r="K34" s="12"/>
      <c r="L34" s="9">
        <v>4.5899999999999996E-2</v>
      </c>
      <c r="M34" s="12">
        <v>0</v>
      </c>
      <c r="N34" s="10">
        <f t="shared" si="0"/>
        <v>9.0662984542403109</v>
      </c>
    </row>
    <row r="35" spans="1:14" x14ac:dyDescent="0.3">
      <c r="A35" t="s">
        <v>19</v>
      </c>
      <c r="B35" t="s">
        <v>20</v>
      </c>
      <c r="C35">
        <v>2014</v>
      </c>
      <c r="D35" s="9">
        <v>0.52383998870849613</v>
      </c>
      <c r="E35" s="9">
        <v>2.1096346037520801E-2</v>
      </c>
      <c r="F35" s="10">
        <v>8280</v>
      </c>
      <c r="G35" s="9">
        <v>0.52568100000000006</v>
      </c>
      <c r="H35" s="11">
        <v>46.565429000000002</v>
      </c>
      <c r="J35" s="9"/>
      <c r="K35" s="12"/>
      <c r="L35" s="9">
        <v>8.7989999999999999E-2</v>
      </c>
      <c r="M35" s="12">
        <v>0</v>
      </c>
      <c r="N35" s="10">
        <f t="shared" si="0"/>
        <v>0</v>
      </c>
    </row>
    <row r="36" spans="1:14" x14ac:dyDescent="0.3">
      <c r="A36" t="s">
        <v>19</v>
      </c>
      <c r="B36" t="s">
        <v>20</v>
      </c>
      <c r="C36">
        <v>2015</v>
      </c>
      <c r="D36" s="9">
        <v>0.50671001434326168</v>
      </c>
      <c r="E36" s="9">
        <v>2.1194645796842299E-2</v>
      </c>
      <c r="F36" s="10">
        <v>7420</v>
      </c>
      <c r="G36" s="9">
        <v>0.55905000000000005</v>
      </c>
      <c r="H36" s="11">
        <v>46.969940000000001</v>
      </c>
      <c r="I36" s="10">
        <v>134.4747325046261</v>
      </c>
      <c r="J36" s="9"/>
      <c r="K36" s="12"/>
      <c r="L36" s="9">
        <v>8.5719999999999991E-2</v>
      </c>
      <c r="M36" s="12">
        <v>0</v>
      </c>
      <c r="N36" s="10">
        <f t="shared" si="0"/>
        <v>2.8629956202759916</v>
      </c>
    </row>
    <row r="37" spans="1:14" x14ac:dyDescent="0.3">
      <c r="A37" t="s">
        <v>19</v>
      </c>
      <c r="B37" t="s">
        <v>20</v>
      </c>
      <c r="C37">
        <v>2016</v>
      </c>
      <c r="D37" s="9">
        <v>0.50575000762939448</v>
      </c>
      <c r="E37" s="9">
        <v>2.1256925714750002E-2</v>
      </c>
      <c r="F37" s="10">
        <v>6560</v>
      </c>
      <c r="G37" s="9">
        <v>0.58136500000000002</v>
      </c>
      <c r="H37" s="11">
        <v>47.437511999999998</v>
      </c>
      <c r="I37" s="10">
        <v>120.7740711707111</v>
      </c>
      <c r="J37" s="9">
        <v>-0.10169263618691871</v>
      </c>
      <c r="K37" s="12"/>
      <c r="L37" s="9">
        <v>8.9220000000000008E-2</v>
      </c>
      <c r="M37" s="12">
        <v>0</v>
      </c>
      <c r="N37" s="10">
        <f t="shared" si="0"/>
        <v>2.5459613305754969</v>
      </c>
    </row>
    <row r="38" spans="1:14" x14ac:dyDescent="0.3">
      <c r="A38" t="s">
        <v>19</v>
      </c>
      <c r="B38" t="s">
        <v>20</v>
      </c>
      <c r="C38">
        <v>2017</v>
      </c>
      <c r="D38" s="9">
        <v>0.49648998260498045</v>
      </c>
      <c r="E38" s="9">
        <v>2.1429020886837302E-2</v>
      </c>
      <c r="F38" s="10">
        <v>6030</v>
      </c>
      <c r="G38" s="9">
        <v>0.62259900000000001</v>
      </c>
      <c r="H38" s="11">
        <v>48.131078000000002</v>
      </c>
      <c r="I38" s="10">
        <v>132.62146296200251</v>
      </c>
      <c r="J38" s="9">
        <v>9.8504317065106095E-2</v>
      </c>
      <c r="K38" s="12"/>
      <c r="L38" s="9">
        <v>9.0859999999999996E-2</v>
      </c>
      <c r="M38" s="12">
        <v>0</v>
      </c>
      <c r="N38" s="10">
        <f t="shared" si="0"/>
        <v>2.7554226598041809</v>
      </c>
    </row>
    <row r="39" spans="1:14" x14ac:dyDescent="0.3">
      <c r="A39" t="s">
        <v>19</v>
      </c>
      <c r="B39" t="s">
        <v>20</v>
      </c>
      <c r="C39">
        <v>2018</v>
      </c>
      <c r="D39" s="9">
        <v>0.5011100006103516</v>
      </c>
      <c r="E39" s="9">
        <v>2.1636165390951801E-2</v>
      </c>
      <c r="F39" s="10">
        <v>6350</v>
      </c>
      <c r="G39" s="9">
        <v>0.64126400000000006</v>
      </c>
      <c r="H39" s="11">
        <v>49.024464999999999</v>
      </c>
      <c r="I39" s="10">
        <v>166.76975050676191</v>
      </c>
      <c r="J39" s="9">
        <v>0.25902328425443821</v>
      </c>
      <c r="K39" s="12"/>
      <c r="L39" s="9">
        <v>9.3599999999999989E-2</v>
      </c>
      <c r="M39" s="12">
        <v>0</v>
      </c>
      <c r="N39" s="10">
        <f t="shared" si="0"/>
        <v>3.4017658429676265</v>
      </c>
    </row>
    <row r="40" spans="1:14" x14ac:dyDescent="0.3">
      <c r="A40" t="s">
        <v>19</v>
      </c>
      <c r="B40" t="s">
        <v>20</v>
      </c>
      <c r="C40">
        <v>2019</v>
      </c>
      <c r="D40" s="9">
        <v>0.51672000885009772</v>
      </c>
      <c r="E40" s="9">
        <v>2.17312524763833E-2</v>
      </c>
      <c r="F40" s="10">
        <v>6630</v>
      </c>
      <c r="G40" s="9">
        <v>0.65006900000000001</v>
      </c>
      <c r="H40" s="11">
        <v>49.907984999999996</v>
      </c>
      <c r="I40" s="10">
        <v>182.3810352430248</v>
      </c>
      <c r="J40" s="9">
        <v>9.4005876473880923E-2</v>
      </c>
      <c r="K40" s="12"/>
      <c r="L40" s="9">
        <v>0.10279999999999999</v>
      </c>
      <c r="M40" s="12">
        <v>0</v>
      </c>
      <c r="N40" s="10">
        <f t="shared" si="0"/>
        <v>3.6543457974315094</v>
      </c>
    </row>
    <row r="41" spans="1:14" x14ac:dyDescent="0.3">
      <c r="A41" t="s">
        <v>19</v>
      </c>
      <c r="B41" t="s">
        <v>20</v>
      </c>
      <c r="C41">
        <v>2020</v>
      </c>
      <c r="D41" s="9">
        <v>0.54005001068115233</v>
      </c>
      <c r="E41" s="9">
        <v>2.6833909357960001E-2</v>
      </c>
      <c r="F41" s="10">
        <v>5850</v>
      </c>
      <c r="G41" s="9">
        <v>0.69795299999999993</v>
      </c>
      <c r="H41" s="11">
        <v>50.629997000000003</v>
      </c>
      <c r="I41" s="10">
        <v>181.15178346202461</v>
      </c>
      <c r="J41" s="9">
        <v>-4.1411918061761144E-3</v>
      </c>
      <c r="K41" s="12">
        <v>0.63194699453551917</v>
      </c>
      <c r="L41" s="9">
        <v>0.15983</v>
      </c>
      <c r="M41" s="12">
        <v>0.63194699453551917</v>
      </c>
      <c r="N41" s="10">
        <f t="shared" si="0"/>
        <v>3.5779536677046337</v>
      </c>
    </row>
    <row r="42" spans="1:14" x14ac:dyDescent="0.3">
      <c r="A42" t="s">
        <v>19</v>
      </c>
      <c r="B42" t="s">
        <v>20</v>
      </c>
      <c r="C42">
        <v>2021</v>
      </c>
      <c r="D42" s="9">
        <v>0.51835998535156247</v>
      </c>
      <c r="E42" s="9">
        <v>2.7743091634145602E-2</v>
      </c>
      <c r="F42" s="10">
        <v>6310</v>
      </c>
      <c r="G42" s="9">
        <v>0.73028400000000004</v>
      </c>
      <c r="H42" s="11">
        <v>51.188172999999999</v>
      </c>
      <c r="I42" s="10">
        <v>224.7661395968093</v>
      </c>
      <c r="J42" s="9">
        <v>0.23799771375976086</v>
      </c>
      <c r="K42" s="12">
        <v>0.61009917808219183</v>
      </c>
      <c r="L42" s="9">
        <v>0.13897999999999999</v>
      </c>
      <c r="M42" s="12">
        <v>0.61009917808219183</v>
      </c>
      <c r="N42" s="10">
        <f t="shared" si="0"/>
        <v>4.3909779627573213</v>
      </c>
    </row>
    <row r="43" spans="1:14" x14ac:dyDescent="0.3">
      <c r="A43" t="s">
        <v>19</v>
      </c>
      <c r="B43" t="s">
        <v>20</v>
      </c>
      <c r="C43">
        <v>2022</v>
      </c>
      <c r="D43" s="9">
        <v>0.55073001861572268</v>
      </c>
      <c r="E43" s="9">
        <v>2.7320039679227099E-2</v>
      </c>
      <c r="F43" s="10">
        <v>6560</v>
      </c>
      <c r="G43" s="9">
        <v>0.72796400000000006</v>
      </c>
      <c r="H43" s="11">
        <v>51.737943999999999</v>
      </c>
      <c r="I43" s="10">
        <v>229.9154773943369</v>
      </c>
      <c r="J43" s="9">
        <v>2.1131107273618444E-2</v>
      </c>
      <c r="K43" s="12">
        <v>0.2775649315068493</v>
      </c>
      <c r="L43" s="9">
        <v>0.10541</v>
      </c>
      <c r="M43" s="12">
        <v>0.2775649315068493</v>
      </c>
      <c r="N43" s="10">
        <f t="shared" si="0"/>
        <v>4.4438464233201245</v>
      </c>
    </row>
    <row r="44" spans="1:14" x14ac:dyDescent="0.3">
      <c r="A44" t="s">
        <v>19</v>
      </c>
      <c r="B44" t="s">
        <v>20</v>
      </c>
      <c r="C44">
        <v>2023</v>
      </c>
      <c r="D44" s="9"/>
      <c r="E44" s="9">
        <v>2.8023347003626999E-2</v>
      </c>
      <c r="F44" s="10">
        <v>6720</v>
      </c>
      <c r="G44" s="9">
        <v>0.77336899999999997</v>
      </c>
      <c r="H44" s="11">
        <v>52.321151999999998</v>
      </c>
      <c r="I44" s="10">
        <v>224.90029792740029</v>
      </c>
      <c r="J44" s="9">
        <v>-2.2309377421926513E-2</v>
      </c>
      <c r="K44" s="12"/>
      <c r="L44" s="9">
        <v>9.5909999999999995E-2</v>
      </c>
      <c r="M44" s="12">
        <v>0</v>
      </c>
      <c r="N44" s="10">
        <f t="shared" si="0"/>
        <v>4.2984584499859695</v>
      </c>
    </row>
    <row r="45" spans="1:14" x14ac:dyDescent="0.3">
      <c r="A45" t="s">
        <v>19</v>
      </c>
      <c r="B45" t="s">
        <v>20</v>
      </c>
      <c r="C45">
        <v>2024</v>
      </c>
      <c r="D45" s="9"/>
      <c r="E45" s="9"/>
      <c r="F45" s="10">
        <v>7040</v>
      </c>
      <c r="G45" s="9"/>
      <c r="H45" s="11">
        <v>52.886363000000003</v>
      </c>
      <c r="I45" s="10">
        <v>249.2847088472457</v>
      </c>
      <c r="J45" s="9">
        <v>0.10838880012165464</v>
      </c>
      <c r="K45" s="12"/>
      <c r="L45" s="9">
        <v>9.6189999999999998E-2</v>
      </c>
      <c r="M45" s="12">
        <v>0</v>
      </c>
      <c r="N45" s="10">
        <f t="shared" si="0"/>
        <v>4.7135914573525444</v>
      </c>
    </row>
    <row r="46" spans="1:14" x14ac:dyDescent="0.3">
      <c r="A46" t="s">
        <v>21</v>
      </c>
      <c r="B46" t="s">
        <v>22</v>
      </c>
      <c r="C46">
        <v>2014</v>
      </c>
      <c r="D46" s="9">
        <v>0.26979999542236333</v>
      </c>
      <c r="E46" s="9">
        <v>3.4487717237711497E-2</v>
      </c>
      <c r="F46" s="10">
        <v>63650</v>
      </c>
      <c r="G46" s="9">
        <v>0.95993499999999998</v>
      </c>
      <c r="H46" s="11">
        <v>5.6434749999999996</v>
      </c>
      <c r="J46" s="9"/>
      <c r="K46" s="12"/>
      <c r="L46" s="9">
        <v>6.9249999999999992E-2</v>
      </c>
      <c r="M46" s="12">
        <v>0</v>
      </c>
      <c r="N46" s="10">
        <f t="shared" si="0"/>
        <v>0</v>
      </c>
    </row>
    <row r="47" spans="1:14" x14ac:dyDescent="0.3">
      <c r="A47" t="s">
        <v>21</v>
      </c>
      <c r="B47" t="s">
        <v>22</v>
      </c>
      <c r="C47">
        <v>2015</v>
      </c>
      <c r="D47" s="9">
        <v>0.28190000534057619</v>
      </c>
      <c r="E47" s="9">
        <v>3.55815507812519E-2</v>
      </c>
      <c r="F47" s="10">
        <v>60350</v>
      </c>
      <c r="G47" s="9">
        <v>0.96330499999999997</v>
      </c>
      <c r="H47" s="11">
        <v>5.6834829999999998</v>
      </c>
      <c r="I47" s="10">
        <v>163.76377430831809</v>
      </c>
      <c r="J47" s="9"/>
      <c r="K47" s="12"/>
      <c r="L47" s="9">
        <v>6.2780000000000002E-2</v>
      </c>
      <c r="M47" s="12">
        <v>0</v>
      </c>
      <c r="N47" s="10">
        <f t="shared" si="0"/>
        <v>28.813981551157642</v>
      </c>
    </row>
    <row r="48" spans="1:14" x14ac:dyDescent="0.3">
      <c r="A48" t="s">
        <v>21</v>
      </c>
      <c r="B48" t="s">
        <v>22</v>
      </c>
      <c r="C48">
        <v>2016</v>
      </c>
      <c r="D48" s="9">
        <v>0.29400999069213873</v>
      </c>
      <c r="E48" s="9">
        <v>3.4912384421356697E-2</v>
      </c>
      <c r="F48" s="10">
        <v>57830</v>
      </c>
      <c r="G48" s="9">
        <v>0.96967799999999993</v>
      </c>
      <c r="H48" s="11">
        <v>5.7280100000000003</v>
      </c>
      <c r="I48" s="10">
        <v>163.74964541684841</v>
      </c>
      <c r="J48" s="9">
        <v>1.2543395226338738E-4</v>
      </c>
      <c r="K48" s="12"/>
      <c r="L48" s="9">
        <v>5.9889999999999999E-2</v>
      </c>
      <c r="M48" s="12">
        <v>0</v>
      </c>
      <c r="N48" s="10">
        <f t="shared" si="0"/>
        <v>28.5875278529277</v>
      </c>
    </row>
    <row r="49" spans="1:14" x14ac:dyDescent="0.3">
      <c r="A49" t="s">
        <v>21</v>
      </c>
      <c r="B49" t="s">
        <v>22</v>
      </c>
      <c r="C49">
        <v>2017</v>
      </c>
      <c r="D49" s="9">
        <v>0.28319000244140624</v>
      </c>
      <c r="E49" s="9">
        <v>3.5205279012804902E-2</v>
      </c>
      <c r="F49" s="10">
        <v>56600</v>
      </c>
      <c r="G49" s="9">
        <v>0.97099400000000002</v>
      </c>
      <c r="H49" s="11">
        <v>5.7649800000000004</v>
      </c>
      <c r="I49" s="10">
        <v>199.93614706672309</v>
      </c>
      <c r="J49" s="9">
        <v>0.22144132737989297</v>
      </c>
      <c r="K49" s="12"/>
      <c r="L49" s="9">
        <v>5.833E-2</v>
      </c>
      <c r="M49" s="12">
        <v>0</v>
      </c>
      <c r="N49" s="10">
        <f t="shared" si="0"/>
        <v>34.681151897616829</v>
      </c>
    </row>
    <row r="50" spans="1:14" x14ac:dyDescent="0.3">
      <c r="A50" t="s">
        <v>21</v>
      </c>
      <c r="B50" t="s">
        <v>22</v>
      </c>
      <c r="C50">
        <v>2018</v>
      </c>
      <c r="D50" s="9">
        <v>0.28430999755859376</v>
      </c>
      <c r="E50" s="9">
        <v>3.5815094210411701E-2</v>
      </c>
      <c r="F50" s="10">
        <v>61090</v>
      </c>
      <c r="G50" s="9">
        <v>0.97319199999999995</v>
      </c>
      <c r="H50" s="11">
        <v>5.7936360000000002</v>
      </c>
      <c r="I50" s="10">
        <v>221.4599109928098</v>
      </c>
      <c r="J50" s="9">
        <v>0.1090065206426134</v>
      </c>
      <c r="K50" s="12"/>
      <c r="L50" s="9">
        <v>5.1310000000000001E-2</v>
      </c>
      <c r="M50" s="12">
        <v>0</v>
      </c>
      <c r="N50" s="10">
        <f t="shared" si="0"/>
        <v>38.224684980694299</v>
      </c>
    </row>
    <row r="51" spans="1:14" x14ac:dyDescent="0.3">
      <c r="A51" t="s">
        <v>21</v>
      </c>
      <c r="B51" t="s">
        <v>22</v>
      </c>
      <c r="C51">
        <v>2019</v>
      </c>
      <c r="D51" s="9">
        <v>0.28669000625610352</v>
      </c>
      <c r="E51" s="9">
        <v>3.5250485268849899E-2</v>
      </c>
      <c r="F51" s="10">
        <v>63020</v>
      </c>
      <c r="G51" s="9">
        <v>0.980464</v>
      </c>
      <c r="H51" s="11">
        <v>5.8144220000000004</v>
      </c>
      <c r="I51" s="10">
        <v>201.0072141631631</v>
      </c>
      <c r="J51" s="9">
        <v>-9.2025230114912704E-2</v>
      </c>
      <c r="K51" s="12"/>
      <c r="L51" s="9">
        <v>5.0179999999999995E-2</v>
      </c>
      <c r="M51" s="12">
        <v>0</v>
      </c>
      <c r="N51" s="10">
        <f t="shared" si="0"/>
        <v>34.570455010517485</v>
      </c>
    </row>
    <row r="52" spans="1:14" x14ac:dyDescent="0.3">
      <c r="A52" t="s">
        <v>21</v>
      </c>
      <c r="B52" t="s">
        <v>22</v>
      </c>
      <c r="C52">
        <v>2020</v>
      </c>
      <c r="D52" s="9">
        <v>0.2816799926757812</v>
      </c>
      <c r="E52" s="9">
        <v>3.9820316745757998E-2</v>
      </c>
      <c r="F52" s="10">
        <v>62710</v>
      </c>
      <c r="G52" s="9">
        <v>0.96549099999999999</v>
      </c>
      <c r="H52" s="11">
        <v>5.831404</v>
      </c>
      <c r="I52" s="10">
        <v>245.51903051014369</v>
      </c>
      <c r="J52" s="9">
        <v>0.22463973736066611</v>
      </c>
      <c r="K52" s="12">
        <v>0.46365027322404373</v>
      </c>
      <c r="L52" s="9">
        <v>5.6440000000000004E-2</v>
      </c>
      <c r="M52" s="12">
        <v>0.46365027322404373</v>
      </c>
      <c r="N52" s="10">
        <f t="shared" si="0"/>
        <v>42.102901892947855</v>
      </c>
    </row>
    <row r="53" spans="1:14" x14ac:dyDescent="0.3">
      <c r="A53" t="s">
        <v>21</v>
      </c>
      <c r="B53" t="s">
        <v>22</v>
      </c>
      <c r="C53">
        <v>2021</v>
      </c>
      <c r="D53" s="9">
        <v>0.28795000076293947</v>
      </c>
      <c r="E53" s="9">
        <v>3.9135309437839598E-2</v>
      </c>
      <c r="F53" s="10">
        <v>69810</v>
      </c>
      <c r="G53" s="9">
        <v>0.98865899999999995</v>
      </c>
      <c r="H53" s="11">
        <v>5.8567330000000002</v>
      </c>
      <c r="I53" s="10">
        <v>289.87772915860972</v>
      </c>
      <c r="J53" s="9">
        <v>0.17804331776301252</v>
      </c>
      <c r="K53" s="12">
        <v>0.4620558904109589</v>
      </c>
      <c r="L53" s="9">
        <v>5.0650000000000001E-2</v>
      </c>
      <c r="M53" s="12">
        <v>0.4620558904109589</v>
      </c>
      <c r="N53" s="10">
        <f t="shared" si="0"/>
        <v>49.494783040068533</v>
      </c>
    </row>
    <row r="54" spans="1:14" x14ac:dyDescent="0.3">
      <c r="A54" t="s">
        <v>21</v>
      </c>
      <c r="B54" t="s">
        <v>22</v>
      </c>
      <c r="C54">
        <v>2022</v>
      </c>
      <c r="D54" s="9">
        <v>0.29594999313354486</v>
      </c>
      <c r="E54" s="9">
        <v>3.9325707701370602E-2</v>
      </c>
      <c r="F54" s="10">
        <v>72040</v>
      </c>
      <c r="G54" s="9">
        <v>0.97860100000000005</v>
      </c>
      <c r="H54" s="11">
        <v>5.9030370000000003</v>
      </c>
      <c r="I54" s="10">
        <v>269.50764874823437</v>
      </c>
      <c r="J54" s="9">
        <v>-7.188791048875498E-2</v>
      </c>
      <c r="K54" s="12">
        <v>0.13334821917808221</v>
      </c>
      <c r="L54" s="9">
        <v>4.4340000000000004E-2</v>
      </c>
      <c r="M54" s="12">
        <v>0.13334821917808221</v>
      </c>
      <c r="N54" s="10">
        <f t="shared" si="0"/>
        <v>45.655761389981862</v>
      </c>
    </row>
    <row r="55" spans="1:14" x14ac:dyDescent="0.3">
      <c r="A55" t="s">
        <v>21</v>
      </c>
      <c r="B55" t="s">
        <v>22</v>
      </c>
      <c r="C55">
        <v>2023</v>
      </c>
      <c r="D55" s="9"/>
      <c r="E55" s="9">
        <v>4.1369332417418497E-2</v>
      </c>
      <c r="F55" s="10">
        <v>72080</v>
      </c>
      <c r="G55" s="9">
        <v>0.98775599999999997</v>
      </c>
      <c r="H55" s="11">
        <v>5.9469519999999996</v>
      </c>
      <c r="I55" s="10">
        <v>277.05080199532568</v>
      </c>
      <c r="J55" s="9">
        <v>2.7467144959238299E-2</v>
      </c>
      <c r="K55" s="12"/>
      <c r="L55" s="9">
        <v>5.0940000000000006E-2</v>
      </c>
      <c r="M55" s="12">
        <v>0</v>
      </c>
      <c r="N55" s="10">
        <f t="shared" si="0"/>
        <v>46.58702508366062</v>
      </c>
    </row>
    <row r="56" spans="1:14" x14ac:dyDescent="0.3">
      <c r="A56" t="s">
        <v>21</v>
      </c>
      <c r="B56" t="s">
        <v>22</v>
      </c>
      <c r="C56">
        <v>2024</v>
      </c>
      <c r="D56" s="9"/>
      <c r="E56" s="9"/>
      <c r="F56" s="10">
        <v>72540</v>
      </c>
      <c r="G56" s="9">
        <v>0.99769200000000002</v>
      </c>
      <c r="H56" s="11">
        <v>5.9769920000000001</v>
      </c>
      <c r="I56" s="10">
        <v>269.20914118118918</v>
      </c>
      <c r="J56" s="9">
        <v>-2.833421403997205E-2</v>
      </c>
      <c r="K56" s="12"/>
      <c r="L56" s="9">
        <v>5.3579999999999996E-2</v>
      </c>
      <c r="M56" s="12">
        <v>0</v>
      </c>
      <c r="N56" s="10">
        <f t="shared" si="0"/>
        <v>45.040907061811225</v>
      </c>
    </row>
    <row r="57" spans="1:14" x14ac:dyDescent="0.3">
      <c r="A57" t="s">
        <v>23</v>
      </c>
      <c r="B57" t="s">
        <v>24</v>
      </c>
      <c r="C57">
        <v>2014</v>
      </c>
      <c r="D57" s="9">
        <v>0.35834999084472663</v>
      </c>
      <c r="E57" s="9">
        <v>3.7520421574856903E-2</v>
      </c>
      <c r="F57" s="10">
        <v>3000</v>
      </c>
      <c r="G57" s="9"/>
      <c r="H57" s="11">
        <v>97.528654000000003</v>
      </c>
      <c r="J57" s="9"/>
      <c r="K57" s="12"/>
      <c r="L57" s="9">
        <v>0.13105</v>
      </c>
      <c r="M57" s="12">
        <v>0</v>
      </c>
      <c r="N57" s="10">
        <f t="shared" si="0"/>
        <v>0</v>
      </c>
    </row>
    <row r="58" spans="1:14" x14ac:dyDescent="0.3">
      <c r="A58" t="s">
        <v>23</v>
      </c>
      <c r="B58" t="s">
        <v>24</v>
      </c>
      <c r="C58">
        <v>2015</v>
      </c>
      <c r="D58" s="9">
        <v>0.36780998229980466</v>
      </c>
      <c r="E58" s="9">
        <v>3.7569314371657697E-2</v>
      </c>
      <c r="F58" s="10">
        <v>3100</v>
      </c>
      <c r="G58" s="9"/>
      <c r="H58" s="11">
        <v>99.597341999999998</v>
      </c>
      <c r="I58" s="10">
        <v>109.066041565643</v>
      </c>
      <c r="J58" s="9"/>
      <c r="K58" s="12"/>
      <c r="L58" s="9">
        <v>0.13052</v>
      </c>
      <c r="M58" s="12">
        <v>0</v>
      </c>
      <c r="N58" s="10">
        <f t="shared" si="0"/>
        <v>1.0950698018190386</v>
      </c>
    </row>
    <row r="59" spans="1:14" x14ac:dyDescent="0.3">
      <c r="A59" t="s">
        <v>23</v>
      </c>
      <c r="B59" t="s">
        <v>24</v>
      </c>
      <c r="C59">
        <v>2016</v>
      </c>
      <c r="D59" s="9">
        <v>0.36326999664306642</v>
      </c>
      <c r="E59" s="9">
        <v>3.7691777823533397E-2</v>
      </c>
      <c r="F59" s="10">
        <v>3200</v>
      </c>
      <c r="G59" s="9"/>
      <c r="H59" s="11">
        <v>101.644589</v>
      </c>
      <c r="I59" s="10">
        <v>143.08181600132869</v>
      </c>
      <c r="J59" s="9">
        <v>0.31216012254716552</v>
      </c>
      <c r="K59" s="12"/>
      <c r="L59" s="9">
        <v>0.1245</v>
      </c>
      <c r="M59" s="12">
        <v>0</v>
      </c>
      <c r="N59" s="10">
        <f t="shared" si="0"/>
        <v>1.4076678100526208</v>
      </c>
    </row>
    <row r="60" spans="1:14" x14ac:dyDescent="0.3">
      <c r="A60" t="s">
        <v>23</v>
      </c>
      <c r="B60" t="s">
        <v>24</v>
      </c>
      <c r="C60">
        <v>2017</v>
      </c>
      <c r="D60" s="9">
        <v>0.35874000549316415</v>
      </c>
      <c r="E60" s="9">
        <v>3.83928791803878E-2</v>
      </c>
      <c r="F60" s="10">
        <v>2880</v>
      </c>
      <c r="G60" s="9"/>
      <c r="H60" s="11">
        <v>103.696057</v>
      </c>
      <c r="I60" s="10">
        <v>150.368455115291</v>
      </c>
      <c r="J60" s="9">
        <v>5.1317646212887702E-2</v>
      </c>
      <c r="K60" s="12"/>
      <c r="L60" s="9">
        <v>0.11767</v>
      </c>
      <c r="M60" s="12">
        <v>0</v>
      </c>
      <c r="N60" s="10">
        <f t="shared" si="0"/>
        <v>1.4500884552947948</v>
      </c>
    </row>
    <row r="61" spans="1:14" x14ac:dyDescent="0.3">
      <c r="A61" t="s">
        <v>23</v>
      </c>
      <c r="B61" t="s">
        <v>24</v>
      </c>
      <c r="C61">
        <v>2018</v>
      </c>
      <c r="D61" s="9">
        <v>0.3541999816894531</v>
      </c>
      <c r="E61" s="9">
        <v>3.8578902597179998E-2</v>
      </c>
      <c r="F61" s="10">
        <v>2710</v>
      </c>
      <c r="G61" s="9"/>
      <c r="H61" s="11">
        <v>105.68209400000001</v>
      </c>
      <c r="I61" s="10">
        <v>134.2315034715524</v>
      </c>
      <c r="J61" s="9">
        <v>-0.10622538830832928</v>
      </c>
      <c r="K61" s="12"/>
      <c r="L61" s="9">
        <v>9.8549999999999999E-2</v>
      </c>
      <c r="M61" s="12">
        <v>0</v>
      </c>
      <c r="N61" s="10">
        <f t="shared" si="0"/>
        <v>1.2701442447909141</v>
      </c>
    </row>
    <row r="62" spans="1:14" x14ac:dyDescent="0.3">
      <c r="A62" t="s">
        <v>23</v>
      </c>
      <c r="B62" t="s">
        <v>24</v>
      </c>
      <c r="C62">
        <v>2019</v>
      </c>
      <c r="D62" s="9">
        <v>0.3541999816894531</v>
      </c>
      <c r="E62" s="9">
        <v>3.8860427056741802E-2</v>
      </c>
      <c r="F62" s="10">
        <v>2640</v>
      </c>
      <c r="G62" s="9"/>
      <c r="H62" s="11">
        <v>107.553158</v>
      </c>
      <c r="I62" s="10">
        <v>174.83305204449729</v>
      </c>
      <c r="J62" s="9">
        <v>0.30294577460264516</v>
      </c>
      <c r="K62" s="12"/>
      <c r="L62" s="9">
        <v>7.8509999999999996E-2</v>
      </c>
      <c r="M62" s="12">
        <v>0</v>
      </c>
      <c r="N62" s="10">
        <f t="shared" si="0"/>
        <v>1.6255501492991706</v>
      </c>
    </row>
    <row r="63" spans="1:14" x14ac:dyDescent="0.3">
      <c r="A63" t="s">
        <v>23</v>
      </c>
      <c r="B63" t="s">
        <v>24</v>
      </c>
      <c r="C63">
        <v>2020</v>
      </c>
      <c r="D63" s="9">
        <v>0.3541999816894531</v>
      </c>
      <c r="E63" s="9">
        <v>4.8269923539885601E-2</v>
      </c>
      <c r="F63" s="10">
        <v>2960</v>
      </c>
      <c r="G63" s="9"/>
      <c r="H63" s="11">
        <v>109.315124</v>
      </c>
      <c r="I63" s="10">
        <v>241.3376961937303</v>
      </c>
      <c r="J63" s="9">
        <v>0.38400116286936092</v>
      </c>
      <c r="K63" s="12">
        <v>0.5980661202185793</v>
      </c>
      <c r="L63" s="9">
        <v>7.9740000000000005E-2</v>
      </c>
      <c r="M63" s="12">
        <v>0.5980661202185793</v>
      </c>
      <c r="N63" s="10">
        <f t="shared" si="0"/>
        <v>2.2077246712333265</v>
      </c>
    </row>
    <row r="64" spans="1:14" x14ac:dyDescent="0.3">
      <c r="A64" t="s">
        <v>23</v>
      </c>
      <c r="B64" t="s">
        <v>24</v>
      </c>
      <c r="C64">
        <v>2021</v>
      </c>
      <c r="D64" s="9">
        <v>0.3541999816894531</v>
      </c>
      <c r="E64" s="9">
        <v>4.8328146635469298E-2</v>
      </c>
      <c r="F64" s="10">
        <v>3470</v>
      </c>
      <c r="G64" s="9"/>
      <c r="H64" s="11">
        <v>110.957008</v>
      </c>
      <c r="I64" s="10">
        <v>296.99564057433219</v>
      </c>
      <c r="J64" s="9">
        <v>0.22788157372383067</v>
      </c>
      <c r="K64" s="12">
        <v>0.44260438356164394</v>
      </c>
      <c r="L64" s="9">
        <v>7.4410000000000004E-2</v>
      </c>
      <c r="M64" s="12">
        <v>0.44260438356164394</v>
      </c>
      <c r="N64" s="10">
        <f t="shared" si="0"/>
        <v>2.6766731180632788</v>
      </c>
    </row>
    <row r="65" spans="1:14" x14ac:dyDescent="0.3">
      <c r="A65" t="s">
        <v>23</v>
      </c>
      <c r="B65" t="s">
        <v>24</v>
      </c>
      <c r="C65">
        <v>2022</v>
      </c>
      <c r="D65" s="9">
        <v>0.3541999816894531</v>
      </c>
      <c r="E65" s="9">
        <v>4.7512996615259297E-2</v>
      </c>
      <c r="F65" s="10">
        <v>4040</v>
      </c>
      <c r="G65" s="9"/>
      <c r="H65" s="11">
        <v>112.61825</v>
      </c>
      <c r="I65" s="10">
        <v>311.89731961482192</v>
      </c>
      <c r="J65" s="9">
        <v>4.8348680801557187E-2</v>
      </c>
      <c r="K65" s="12">
        <v>0.25706767123287672</v>
      </c>
      <c r="L65" s="9">
        <v>6.5460000000000004E-2</v>
      </c>
      <c r="M65" s="12">
        <v>0.25706767123287672</v>
      </c>
      <c r="N65" s="10">
        <f t="shared" si="0"/>
        <v>2.7695095565312187</v>
      </c>
    </row>
    <row r="66" spans="1:14" x14ac:dyDescent="0.3">
      <c r="A66" t="s">
        <v>23</v>
      </c>
      <c r="B66" t="s">
        <v>24</v>
      </c>
      <c r="C66">
        <v>2023</v>
      </c>
      <c r="D66" s="9"/>
      <c r="E66" s="9">
        <v>4.8047686716503099E-2</v>
      </c>
      <c r="F66" s="10">
        <v>3840</v>
      </c>
      <c r="G66" s="9"/>
      <c r="H66" s="11">
        <v>114.53577199999999</v>
      </c>
      <c r="I66" s="10">
        <v>260.91112917739417</v>
      </c>
      <c r="J66" s="9">
        <v>-0.16389544627116315</v>
      </c>
      <c r="K66" s="12"/>
      <c r="L66" s="9">
        <v>6.7530000000000007E-2</v>
      </c>
      <c r="M66" s="12">
        <v>0</v>
      </c>
      <c r="N66" s="10">
        <f t="shared" si="0"/>
        <v>2.277988130881889</v>
      </c>
    </row>
    <row r="67" spans="1:14" x14ac:dyDescent="0.3">
      <c r="A67" t="s">
        <v>23</v>
      </c>
      <c r="B67" t="s">
        <v>24</v>
      </c>
      <c r="C67">
        <v>2024</v>
      </c>
      <c r="D67" s="9"/>
      <c r="E67" s="9"/>
      <c r="F67" s="10">
        <v>3510</v>
      </c>
      <c r="G67" s="9"/>
      <c r="H67" s="11">
        <v>116.538258</v>
      </c>
      <c r="I67" s="10">
        <v>226.22754975907961</v>
      </c>
      <c r="J67" s="9">
        <v>-0.13295945383115693</v>
      </c>
      <c r="K67" s="12"/>
      <c r="L67" s="9">
        <v>6.8170000000000008E-2</v>
      </c>
      <c r="M67" s="12">
        <v>0</v>
      </c>
      <c r="N67" s="10">
        <f t="shared" si="0"/>
        <v>1.9412298900081346</v>
      </c>
    </row>
    <row r="68" spans="1:14" x14ac:dyDescent="0.3">
      <c r="A68" t="s">
        <v>25</v>
      </c>
      <c r="B68" t="s">
        <v>26</v>
      </c>
      <c r="C68">
        <v>2014</v>
      </c>
      <c r="D68" s="9">
        <v>0.27208999633789061</v>
      </c>
      <c r="E68" s="9">
        <v>3.19102689506311E-2</v>
      </c>
      <c r="F68" s="10">
        <v>49210</v>
      </c>
      <c r="G68" s="9">
        <v>0.86530399999999996</v>
      </c>
      <c r="H68" s="11">
        <v>5.4615119999999999</v>
      </c>
      <c r="J68" s="9"/>
      <c r="K68" s="12"/>
      <c r="L68" s="9">
        <v>8.6629999999999999E-2</v>
      </c>
      <c r="M68" s="12">
        <v>0</v>
      </c>
      <c r="N68" s="10">
        <f t="shared" si="0"/>
        <v>0</v>
      </c>
    </row>
    <row r="69" spans="1:14" x14ac:dyDescent="0.3">
      <c r="A69" t="s">
        <v>25</v>
      </c>
      <c r="B69" t="s">
        <v>26</v>
      </c>
      <c r="C69">
        <v>2015</v>
      </c>
      <c r="D69" s="9">
        <v>0.27184000015258791</v>
      </c>
      <c r="E69" s="9">
        <v>3.0867106587423698E-2</v>
      </c>
      <c r="F69" s="10">
        <v>46860</v>
      </c>
      <c r="G69" s="9">
        <v>0.86422100000000002</v>
      </c>
      <c r="H69" s="11">
        <v>5.4795309999999997</v>
      </c>
      <c r="I69" s="10">
        <v>105.5170860593153</v>
      </c>
      <c r="J69" s="9"/>
      <c r="K69" s="12"/>
      <c r="L69" s="9">
        <v>9.3759999999999996E-2</v>
      </c>
      <c r="M69" s="12">
        <v>0</v>
      </c>
      <c r="N69" s="10">
        <f t="shared" si="0"/>
        <v>19.256590766493577</v>
      </c>
    </row>
    <row r="70" spans="1:14" x14ac:dyDescent="0.3">
      <c r="A70" t="s">
        <v>25</v>
      </c>
      <c r="B70" t="s">
        <v>26</v>
      </c>
      <c r="C70">
        <v>2016</v>
      </c>
      <c r="D70" s="9">
        <v>0.27159000396728517</v>
      </c>
      <c r="E70" s="9">
        <v>3.20336319829434E-2</v>
      </c>
      <c r="F70" s="10">
        <v>45160</v>
      </c>
      <c r="G70" s="9">
        <v>0.87703599999999993</v>
      </c>
      <c r="H70" s="11">
        <v>5.4953029999999998</v>
      </c>
      <c r="I70" s="10">
        <v>107.2163764422813</v>
      </c>
      <c r="J70" s="9">
        <v>1.6319547715284877E-2</v>
      </c>
      <c r="K70" s="12"/>
      <c r="L70" s="9">
        <v>8.8179999999999994E-2</v>
      </c>
      <c r="M70" s="12">
        <v>0</v>
      </c>
      <c r="N70" s="10">
        <f t="shared" si="0"/>
        <v>19.510548634403108</v>
      </c>
    </row>
    <row r="71" spans="1:14" x14ac:dyDescent="0.3">
      <c r="A71" t="s">
        <v>25</v>
      </c>
      <c r="B71" t="s">
        <v>26</v>
      </c>
      <c r="C71">
        <v>2017</v>
      </c>
      <c r="D71" s="9">
        <v>0.27134000778198236</v>
      </c>
      <c r="E71" s="9">
        <v>3.1501336170130997E-2</v>
      </c>
      <c r="F71" s="10">
        <v>44520</v>
      </c>
      <c r="G71" s="9">
        <v>0.87468900000000005</v>
      </c>
      <c r="H71" s="11">
        <v>5.5082139999999997</v>
      </c>
      <c r="I71" s="10">
        <v>134.5708573460719</v>
      </c>
      <c r="J71" s="9">
        <v>0.25560071316158695</v>
      </c>
      <c r="K71" s="12"/>
      <c r="L71" s="9">
        <v>8.6400000000000005E-2</v>
      </c>
      <c r="M71" s="12">
        <v>0</v>
      </c>
      <c r="N71" s="10">
        <f t="shared" ref="N71:N134" si="1">I71/H71</f>
        <v>24.430942106837517</v>
      </c>
    </row>
    <row r="72" spans="1:14" x14ac:dyDescent="0.3">
      <c r="A72" t="s">
        <v>25</v>
      </c>
      <c r="B72" t="s">
        <v>26</v>
      </c>
      <c r="C72">
        <v>2018</v>
      </c>
      <c r="D72" s="9">
        <v>0.27423000335693359</v>
      </c>
      <c r="E72" s="9">
        <v>3.02315180944502E-2</v>
      </c>
      <c r="F72" s="10">
        <v>47900</v>
      </c>
      <c r="G72" s="9">
        <v>0.88890000000000002</v>
      </c>
      <c r="H72" s="11">
        <v>5.5155250000000002</v>
      </c>
      <c r="I72" s="10">
        <v>157.14300377396481</v>
      </c>
      <c r="J72" s="9">
        <v>0.16916102243637354</v>
      </c>
      <c r="K72" s="12"/>
      <c r="L72" s="9">
        <v>7.3609999999999995E-2</v>
      </c>
      <c r="M72" s="12">
        <v>0</v>
      </c>
      <c r="N72" s="10">
        <f t="shared" si="1"/>
        <v>28.491032816271307</v>
      </c>
    </row>
    <row r="73" spans="1:14" x14ac:dyDescent="0.3">
      <c r="A73" t="s">
        <v>25</v>
      </c>
      <c r="B73" t="s">
        <v>26</v>
      </c>
      <c r="C73">
        <v>2019</v>
      </c>
      <c r="D73" s="9">
        <v>0.27368999481201167</v>
      </c>
      <c r="E73" s="9">
        <v>3.0945611159069498E-2</v>
      </c>
      <c r="F73" s="10">
        <v>49590</v>
      </c>
      <c r="G73" s="9">
        <v>0.89607400000000004</v>
      </c>
      <c r="H73" s="11">
        <v>5.5216060000000002</v>
      </c>
      <c r="I73" s="10">
        <v>164.20977586803579</v>
      </c>
      <c r="J73" s="9">
        <v>4.5348776451862305E-2</v>
      </c>
      <c r="K73" s="12"/>
      <c r="L73" s="9">
        <v>6.695000000000001E-2</v>
      </c>
      <c r="M73" s="12">
        <v>0</v>
      </c>
      <c r="N73" s="10">
        <f t="shared" si="1"/>
        <v>29.73949533306719</v>
      </c>
    </row>
    <row r="74" spans="1:14" x14ac:dyDescent="0.3">
      <c r="A74" t="s">
        <v>25</v>
      </c>
      <c r="B74" t="s">
        <v>26</v>
      </c>
      <c r="C74">
        <v>2020</v>
      </c>
      <c r="D74" s="9">
        <v>0.27775999069213869</v>
      </c>
      <c r="E74" s="9">
        <v>3.4179009184913699E-2</v>
      </c>
      <c r="F74" s="10">
        <v>49630</v>
      </c>
      <c r="G74" s="9">
        <v>0.92170299999999994</v>
      </c>
      <c r="H74" s="11">
        <v>5.5295430000000003</v>
      </c>
      <c r="I74" s="10">
        <v>208.91506188940701</v>
      </c>
      <c r="J74" s="9">
        <v>0.27557375499827352</v>
      </c>
      <c r="K74" s="12">
        <v>0.38731502732240441</v>
      </c>
      <c r="L74" s="9">
        <v>7.7590000000000006E-2</v>
      </c>
      <c r="M74" s="12">
        <v>0.38731502732240441</v>
      </c>
      <c r="N74" s="10">
        <f t="shared" si="1"/>
        <v>37.781614482319242</v>
      </c>
    </row>
    <row r="75" spans="1:14" x14ac:dyDescent="0.3">
      <c r="A75" t="s">
        <v>25</v>
      </c>
      <c r="B75" t="s">
        <v>26</v>
      </c>
      <c r="C75">
        <v>2021</v>
      </c>
      <c r="D75" s="9">
        <v>0.27131999969482418</v>
      </c>
      <c r="E75" s="9">
        <v>3.37172200234244E-2</v>
      </c>
      <c r="F75" s="10">
        <v>52810</v>
      </c>
      <c r="G75" s="9">
        <v>0.92808099999999993</v>
      </c>
      <c r="H75" s="11">
        <v>5.5410170000000001</v>
      </c>
      <c r="I75" s="10">
        <v>236.01330577961889</v>
      </c>
      <c r="J75" s="9">
        <v>0.12719306017550802</v>
      </c>
      <c r="K75" s="12">
        <v>0.4245320547945205</v>
      </c>
      <c r="L75" s="9">
        <v>7.6170000000000002E-2</v>
      </c>
      <c r="M75" s="12">
        <v>0.4245320547945205</v>
      </c>
      <c r="N75" s="10">
        <f t="shared" si="1"/>
        <v>42.593860617936905</v>
      </c>
    </row>
    <row r="76" spans="1:14" x14ac:dyDescent="0.3">
      <c r="A76" t="s">
        <v>25</v>
      </c>
      <c r="B76" t="s">
        <v>26</v>
      </c>
      <c r="C76">
        <v>2022</v>
      </c>
      <c r="D76" s="9">
        <v>0.28691999435424803</v>
      </c>
      <c r="E76" s="9">
        <v>3.3463620628829502E-2</v>
      </c>
      <c r="F76" s="10">
        <v>54120</v>
      </c>
      <c r="G76" s="9">
        <v>0.92988799999999994</v>
      </c>
      <c r="H76" s="11">
        <v>5.5561059999999998</v>
      </c>
      <c r="I76" s="10">
        <v>192.47250042438361</v>
      </c>
      <c r="J76" s="9">
        <v>-0.185902566828961</v>
      </c>
      <c r="K76" s="12">
        <v>0.16356191780821919</v>
      </c>
      <c r="L76" s="9">
        <v>6.719E-2</v>
      </c>
      <c r="M76" s="12">
        <v>0.16356191780821919</v>
      </c>
      <c r="N76" s="10">
        <f t="shared" si="1"/>
        <v>34.641617784898926</v>
      </c>
    </row>
    <row r="77" spans="1:14" x14ac:dyDescent="0.3">
      <c r="A77" t="s">
        <v>25</v>
      </c>
      <c r="B77" t="s">
        <v>26</v>
      </c>
      <c r="C77">
        <v>2023</v>
      </c>
      <c r="D77" s="9"/>
      <c r="E77" s="9">
        <v>3.3918154152124798E-2</v>
      </c>
      <c r="F77" s="10">
        <v>52990</v>
      </c>
      <c r="G77" s="9">
        <v>0.93513900000000005</v>
      </c>
      <c r="H77" s="11">
        <v>5.5839109999999996</v>
      </c>
      <c r="I77" s="10">
        <v>204.03613110100349</v>
      </c>
      <c r="J77" s="9">
        <v>5.954161414570236E-2</v>
      </c>
      <c r="K77" s="12"/>
      <c r="L77" s="9">
        <v>7.1489999999999998E-2</v>
      </c>
      <c r="M77" s="12">
        <v>0</v>
      </c>
      <c r="N77" s="10">
        <f t="shared" si="1"/>
        <v>36.540004147810293</v>
      </c>
    </row>
    <row r="78" spans="1:14" x14ac:dyDescent="0.3">
      <c r="A78" t="s">
        <v>25</v>
      </c>
      <c r="B78" t="s">
        <v>26</v>
      </c>
      <c r="C78">
        <v>2024</v>
      </c>
      <c r="D78" s="9"/>
      <c r="E78" s="9"/>
      <c r="F78" s="10">
        <v>51650</v>
      </c>
      <c r="G78" s="9"/>
      <c r="H78" s="11">
        <v>5.6199110000000001</v>
      </c>
      <c r="I78" s="10">
        <v>200.9340424120648</v>
      </c>
      <c r="J78" s="9">
        <v>-1.5234191167177169E-2</v>
      </c>
      <c r="K78" s="12"/>
      <c r="L78" s="9">
        <v>8.4000000000000005E-2</v>
      </c>
      <c r="M78" s="12">
        <v>0</v>
      </c>
      <c r="N78" s="10">
        <f t="shared" si="1"/>
        <v>35.753954539861006</v>
      </c>
    </row>
    <row r="79" spans="1:14" x14ac:dyDescent="0.3">
      <c r="A79" t="s">
        <v>27</v>
      </c>
      <c r="B79" t="s">
        <v>28</v>
      </c>
      <c r="C79">
        <v>2014</v>
      </c>
      <c r="D79" s="9">
        <v>0.32782001495361329</v>
      </c>
      <c r="E79" s="9">
        <v>3.7117212178412601E-2</v>
      </c>
      <c r="F79" s="10">
        <v>43470</v>
      </c>
      <c r="G79" s="9">
        <v>0.83751099999999989</v>
      </c>
      <c r="H79" s="11">
        <v>66.312066999999999</v>
      </c>
      <c r="J79" s="9"/>
      <c r="K79" s="12"/>
      <c r="L79" s="9">
        <v>0.10273</v>
      </c>
      <c r="M79" s="12">
        <v>0</v>
      </c>
      <c r="N79" s="10">
        <f t="shared" si="1"/>
        <v>0</v>
      </c>
    </row>
    <row r="80" spans="1:14" x14ac:dyDescent="0.3">
      <c r="A80" t="s">
        <v>27</v>
      </c>
      <c r="B80" t="s">
        <v>28</v>
      </c>
      <c r="C80">
        <v>2015</v>
      </c>
      <c r="D80" s="9">
        <v>0.32820999145507812</v>
      </c>
      <c r="E80" s="9">
        <v>3.7781535667045098E-2</v>
      </c>
      <c r="F80" s="10">
        <v>41130</v>
      </c>
      <c r="G80" s="9">
        <v>0.78005999999999998</v>
      </c>
      <c r="H80" s="11">
        <v>66.548271999999997</v>
      </c>
      <c r="I80" s="10">
        <v>1059.5771961380251</v>
      </c>
      <c r="J80" s="9"/>
      <c r="K80" s="12"/>
      <c r="L80" s="9">
        <v>0.10353999999999999</v>
      </c>
      <c r="M80" s="12">
        <v>0</v>
      </c>
      <c r="N80" s="10">
        <f t="shared" si="1"/>
        <v>15.921934023140754</v>
      </c>
    </row>
    <row r="81" spans="1:14" x14ac:dyDescent="0.3">
      <c r="A81" t="s">
        <v>27</v>
      </c>
      <c r="B81" t="s">
        <v>28</v>
      </c>
      <c r="C81">
        <v>2016</v>
      </c>
      <c r="D81" s="9">
        <v>0.32534000396728524</v>
      </c>
      <c r="E81" s="9">
        <v>3.7921547282127502E-2</v>
      </c>
      <c r="F81" s="10">
        <v>39020</v>
      </c>
      <c r="G81" s="9">
        <v>0.79269800000000001</v>
      </c>
      <c r="H81" s="11">
        <v>66.724103999999997</v>
      </c>
      <c r="I81" s="10">
        <v>1187.270216844214</v>
      </c>
      <c r="J81" s="9">
        <v>0.12075042747236853</v>
      </c>
      <c r="K81" s="12"/>
      <c r="L81" s="9">
        <v>0.10057000000000001</v>
      </c>
      <c r="M81" s="12">
        <v>0</v>
      </c>
      <c r="N81" s="10">
        <f t="shared" si="1"/>
        <v>17.793722892767718</v>
      </c>
    </row>
    <row r="82" spans="1:14" x14ac:dyDescent="0.3">
      <c r="A82" t="s">
        <v>27</v>
      </c>
      <c r="B82" t="s">
        <v>28</v>
      </c>
      <c r="C82">
        <v>2017</v>
      </c>
      <c r="D82" s="9">
        <v>0.32477001190185545</v>
      </c>
      <c r="E82" s="9">
        <v>3.7859420538288398E-2</v>
      </c>
      <c r="F82" s="10">
        <v>38120</v>
      </c>
      <c r="G82" s="9">
        <v>0.80502499999999999</v>
      </c>
      <c r="H82" s="11">
        <v>66.918019999999999</v>
      </c>
      <c r="I82" s="10">
        <v>1382.676347135874</v>
      </c>
      <c r="J82" s="9">
        <v>0.16501795847869216</v>
      </c>
      <c r="K82" s="12"/>
      <c r="L82" s="9">
        <v>9.4090000000000007E-2</v>
      </c>
      <c r="M82" s="12">
        <v>0</v>
      </c>
      <c r="N82" s="10">
        <f t="shared" si="1"/>
        <v>20.662242354688232</v>
      </c>
    </row>
    <row r="83" spans="1:14" x14ac:dyDescent="0.3">
      <c r="A83" t="s">
        <v>27</v>
      </c>
      <c r="B83" t="s">
        <v>28</v>
      </c>
      <c r="C83">
        <v>2018</v>
      </c>
      <c r="D83" s="9">
        <v>0.33161998748779298</v>
      </c>
      <c r="E83" s="9">
        <v>3.8751226972213698E-2</v>
      </c>
      <c r="F83" s="10">
        <v>40960</v>
      </c>
      <c r="G83" s="9">
        <v>0.82043199999999994</v>
      </c>
      <c r="H83" s="11">
        <v>67.158348000000004</v>
      </c>
      <c r="I83" s="10">
        <v>1664.8874129789281</v>
      </c>
      <c r="J83" s="9">
        <v>0.20557611085412053</v>
      </c>
      <c r="K83" s="12"/>
      <c r="L83" s="9">
        <v>9.018000000000001E-2</v>
      </c>
      <c r="M83" s="12">
        <v>0</v>
      </c>
      <c r="N83" s="10">
        <f t="shared" si="1"/>
        <v>24.790475980423579</v>
      </c>
    </row>
    <row r="84" spans="1:14" x14ac:dyDescent="0.3">
      <c r="A84" t="s">
        <v>27</v>
      </c>
      <c r="B84" t="s">
        <v>28</v>
      </c>
      <c r="C84">
        <v>2019</v>
      </c>
      <c r="D84" s="9">
        <v>0.32527999877929686</v>
      </c>
      <c r="E84" s="9">
        <v>3.8486963398749401E-2</v>
      </c>
      <c r="F84" s="10">
        <v>42720</v>
      </c>
      <c r="G84" s="9">
        <v>0.83339699999999994</v>
      </c>
      <c r="H84" s="11">
        <v>67.382060999999993</v>
      </c>
      <c r="I84" s="10">
        <v>1796.205064710686</v>
      </c>
      <c r="J84" s="9">
        <v>7.926552351738736E-2</v>
      </c>
      <c r="K84" s="12"/>
      <c r="L84" s="9">
        <v>8.4149999999999989E-2</v>
      </c>
      <c r="M84" s="12">
        <v>0</v>
      </c>
      <c r="N84" s="10">
        <f t="shared" si="1"/>
        <v>26.657021736255384</v>
      </c>
    </row>
    <row r="85" spans="1:14" x14ac:dyDescent="0.3">
      <c r="A85" t="s">
        <v>27</v>
      </c>
      <c r="B85" t="s">
        <v>28</v>
      </c>
      <c r="C85">
        <v>2020</v>
      </c>
      <c r="D85" s="9">
        <v>0.32012001037597665</v>
      </c>
      <c r="E85" s="9">
        <v>4.5566463788810102E-2</v>
      </c>
      <c r="F85" s="10">
        <v>39690</v>
      </c>
      <c r="G85" s="9">
        <v>0.84706400000000004</v>
      </c>
      <c r="H85" s="11">
        <v>67.601110000000006</v>
      </c>
      <c r="I85" s="10">
        <v>2010.8670089841451</v>
      </c>
      <c r="J85" s="9">
        <v>0.12243774814373087</v>
      </c>
      <c r="K85" s="12">
        <v>0.54293114754098348</v>
      </c>
      <c r="L85" s="9">
        <v>8.0090000000000008E-2</v>
      </c>
      <c r="M85" s="12">
        <v>0.54293114754098348</v>
      </c>
      <c r="N85" s="10">
        <f t="shared" si="1"/>
        <v>29.74606495343264</v>
      </c>
    </row>
    <row r="86" spans="1:14" x14ac:dyDescent="0.3">
      <c r="A86" t="s">
        <v>27</v>
      </c>
      <c r="B86" t="s">
        <v>28</v>
      </c>
      <c r="C86">
        <v>2021</v>
      </c>
      <c r="D86" s="9">
        <v>0.3076499938964844</v>
      </c>
      <c r="E86" s="9">
        <v>4.5925785938661402E-2</v>
      </c>
      <c r="F86" s="10">
        <v>44300</v>
      </c>
      <c r="G86" s="9">
        <v>0.86095500000000003</v>
      </c>
      <c r="H86" s="11">
        <v>67.842810999999998</v>
      </c>
      <c r="I86" s="10">
        <v>2354.4698216808788</v>
      </c>
      <c r="J86" s="9">
        <v>0.16826495586394041</v>
      </c>
      <c r="K86" s="12">
        <v>0.52678328767123295</v>
      </c>
      <c r="L86" s="9">
        <v>7.8710000000000002E-2</v>
      </c>
      <c r="M86" s="12">
        <v>0.52678328767123295</v>
      </c>
      <c r="N86" s="10">
        <f t="shared" si="1"/>
        <v>34.704779872415351</v>
      </c>
    </row>
    <row r="87" spans="1:14" x14ac:dyDescent="0.3">
      <c r="A87" t="s">
        <v>27</v>
      </c>
      <c r="B87" t="s">
        <v>28</v>
      </c>
      <c r="C87">
        <v>2022</v>
      </c>
      <c r="D87" s="9">
        <v>0.31555000305175779</v>
      </c>
      <c r="E87" s="9">
        <v>4.56046906001214E-2</v>
      </c>
      <c r="F87" s="10">
        <v>46010</v>
      </c>
      <c r="G87" s="9">
        <v>0.8533329999999999</v>
      </c>
      <c r="H87" s="11">
        <v>68.184456999999995</v>
      </c>
      <c r="I87" s="10">
        <v>2072.2921187663292</v>
      </c>
      <c r="J87" s="9">
        <v>-0.12137808354428736</v>
      </c>
      <c r="K87" s="12">
        <v>0.19813260273972599</v>
      </c>
      <c r="L87" s="9">
        <v>7.3029999999999998E-2</v>
      </c>
      <c r="M87" s="12">
        <v>0.19813260273972599</v>
      </c>
      <c r="N87" s="10">
        <f t="shared" si="1"/>
        <v>30.392441473374632</v>
      </c>
    </row>
    <row r="88" spans="1:14" x14ac:dyDescent="0.3">
      <c r="A88" t="s">
        <v>27</v>
      </c>
      <c r="B88" t="s">
        <v>28</v>
      </c>
      <c r="C88">
        <v>2023</v>
      </c>
      <c r="D88" s="9"/>
      <c r="E88" s="9">
        <v>4.6720284308616002E-2</v>
      </c>
      <c r="F88" s="10">
        <v>45770</v>
      </c>
      <c r="G88" s="9">
        <v>0.86836400000000002</v>
      </c>
      <c r="H88" s="11">
        <v>68.372286000000003</v>
      </c>
      <c r="I88" s="10">
        <v>2100.05414912264</v>
      </c>
      <c r="J88" s="9">
        <v>1.2882679411505116E-2</v>
      </c>
      <c r="K88" s="12"/>
      <c r="L88" s="9">
        <v>7.3349999999999999E-2</v>
      </c>
      <c r="M88" s="12">
        <v>0</v>
      </c>
      <c r="N88" s="10">
        <f t="shared" si="1"/>
        <v>30.714990999754491</v>
      </c>
    </row>
    <row r="89" spans="1:14" x14ac:dyDescent="0.3">
      <c r="A89" t="s">
        <v>27</v>
      </c>
      <c r="B89" t="s">
        <v>28</v>
      </c>
      <c r="C89">
        <v>2024</v>
      </c>
      <c r="D89" s="9"/>
      <c r="E89" s="9"/>
      <c r="F89" s="10">
        <v>45160</v>
      </c>
      <c r="G89" s="9">
        <v>0.88653800000000005</v>
      </c>
      <c r="H89" s="11">
        <v>68.551653000000002</v>
      </c>
      <c r="I89" s="10">
        <v>2174.793702056455</v>
      </c>
      <c r="J89" s="9">
        <v>3.5557202243059249E-2</v>
      </c>
      <c r="K89" s="12"/>
      <c r="L89" s="9">
        <v>7.400000000000001E-2</v>
      </c>
      <c r="M89" s="12">
        <v>0</v>
      </c>
      <c r="N89" s="10">
        <f t="shared" si="1"/>
        <v>31.724890748534612</v>
      </c>
    </row>
    <row r="90" spans="1:14" x14ac:dyDescent="0.3">
      <c r="A90" t="s">
        <v>29</v>
      </c>
      <c r="B90" t="s">
        <v>30</v>
      </c>
      <c r="C90">
        <v>2014</v>
      </c>
      <c r="D90" s="9">
        <v>0.31469999313354491</v>
      </c>
      <c r="E90" s="9">
        <v>4.3130329863449397E-2</v>
      </c>
      <c r="F90" s="10">
        <v>48610</v>
      </c>
      <c r="G90" s="9">
        <v>0.86193700000000006</v>
      </c>
      <c r="H90" s="11">
        <v>80.982500000000002</v>
      </c>
      <c r="J90" s="9"/>
      <c r="K90" s="12"/>
      <c r="L90" s="9">
        <v>4.9790000000000001E-2</v>
      </c>
      <c r="M90" s="12">
        <v>0</v>
      </c>
      <c r="N90" s="10">
        <f t="shared" si="1"/>
        <v>0</v>
      </c>
    </row>
    <row r="91" spans="1:14" x14ac:dyDescent="0.3">
      <c r="A91" t="s">
        <v>29</v>
      </c>
      <c r="B91" t="s">
        <v>30</v>
      </c>
      <c r="C91">
        <v>2015</v>
      </c>
      <c r="D91" s="9">
        <v>0.3091200065612793</v>
      </c>
      <c r="E91" s="9">
        <v>4.3396710545336899E-2</v>
      </c>
      <c r="F91" s="10">
        <v>46590</v>
      </c>
      <c r="G91" s="9">
        <v>0.87589799999999995</v>
      </c>
      <c r="H91" s="11">
        <v>81.686610999999999</v>
      </c>
      <c r="I91" s="10">
        <v>1449.3670219794469</v>
      </c>
      <c r="J91" s="9"/>
      <c r="K91" s="12"/>
      <c r="L91" s="9">
        <v>4.6120000000000001E-2</v>
      </c>
      <c r="M91" s="12">
        <v>0</v>
      </c>
      <c r="N91" s="10">
        <f t="shared" si="1"/>
        <v>17.74301815482891</v>
      </c>
    </row>
    <row r="92" spans="1:14" x14ac:dyDescent="0.3">
      <c r="A92" t="s">
        <v>29</v>
      </c>
      <c r="B92" t="s">
        <v>30</v>
      </c>
      <c r="C92">
        <v>2016</v>
      </c>
      <c r="D92" s="9">
        <v>0.31656999588012696</v>
      </c>
      <c r="E92" s="9">
        <v>4.3790063380128801E-2</v>
      </c>
      <c r="F92" s="10">
        <v>45340</v>
      </c>
      <c r="G92" s="9">
        <v>0.84165199999999996</v>
      </c>
      <c r="H92" s="11">
        <v>82.348669000000001</v>
      </c>
      <c r="I92" s="10">
        <v>1595.9855032394439</v>
      </c>
      <c r="J92" s="9">
        <v>0.10139350094133603</v>
      </c>
      <c r="K92" s="12"/>
      <c r="L92" s="9">
        <v>4.104E-2</v>
      </c>
      <c r="M92" s="12">
        <v>0</v>
      </c>
      <c r="N92" s="10">
        <f t="shared" si="1"/>
        <v>19.380829376118317</v>
      </c>
    </row>
    <row r="93" spans="1:14" x14ac:dyDescent="0.3">
      <c r="A93" t="s">
        <v>29</v>
      </c>
      <c r="B93" t="s">
        <v>30</v>
      </c>
      <c r="C93">
        <v>2017</v>
      </c>
      <c r="D93" s="9">
        <v>0.31464000701904299</v>
      </c>
      <c r="E93" s="9">
        <v>4.3743074862485798E-2</v>
      </c>
      <c r="F93" s="10">
        <v>44730</v>
      </c>
      <c r="G93" s="9">
        <v>0.84394199999999997</v>
      </c>
      <c r="H93" s="11">
        <v>82.657002000000006</v>
      </c>
      <c r="I93" s="10">
        <v>1947.4518600765689</v>
      </c>
      <c r="J93" s="9">
        <v>0.22067330926048756</v>
      </c>
      <c r="K93" s="12"/>
      <c r="L93" s="9">
        <v>3.7810000000000003E-2</v>
      </c>
      <c r="M93" s="12">
        <v>0</v>
      </c>
      <c r="N93" s="10">
        <f t="shared" si="1"/>
        <v>23.560639908964625</v>
      </c>
    </row>
    <row r="94" spans="1:14" x14ac:dyDescent="0.3">
      <c r="A94" t="s">
        <v>29</v>
      </c>
      <c r="B94" t="s">
        <v>30</v>
      </c>
      <c r="C94">
        <v>2018</v>
      </c>
      <c r="D94" s="9">
        <v>0.31330999374389651</v>
      </c>
      <c r="E94" s="9">
        <v>4.36880819041853E-2</v>
      </c>
      <c r="F94" s="10">
        <v>48770</v>
      </c>
      <c r="G94" s="9">
        <v>0.87037100000000001</v>
      </c>
      <c r="H94" s="11">
        <v>82.905782000000002</v>
      </c>
      <c r="I94" s="10">
        <v>2368.9271385269972</v>
      </c>
      <c r="J94" s="9">
        <v>0.21791020531322158</v>
      </c>
      <c r="K94" s="12"/>
      <c r="L94" s="9">
        <v>3.3840000000000002E-2</v>
      </c>
      <c r="M94" s="12">
        <v>0</v>
      </c>
      <c r="N94" s="10">
        <f t="shared" si="1"/>
        <v>28.573726480584877</v>
      </c>
    </row>
    <row r="95" spans="1:14" x14ac:dyDescent="0.3">
      <c r="A95" t="s">
        <v>29</v>
      </c>
      <c r="B95" t="s">
        <v>30</v>
      </c>
      <c r="C95">
        <v>2019</v>
      </c>
      <c r="D95" s="9">
        <v>0.31878999710083011</v>
      </c>
      <c r="E95" s="9">
        <v>4.3398090591674002E-2</v>
      </c>
      <c r="F95" s="10">
        <v>50350</v>
      </c>
      <c r="G95" s="9">
        <v>0.88134500000000005</v>
      </c>
      <c r="H95" s="11">
        <v>83.092962</v>
      </c>
      <c r="I95" s="10">
        <v>2612.5334439165449</v>
      </c>
      <c r="J95" s="9">
        <v>0.10323342864718854</v>
      </c>
      <c r="K95" s="12"/>
      <c r="L95" s="9">
        <v>3.1629999999999998E-2</v>
      </c>
      <c r="M95" s="12">
        <v>0</v>
      </c>
      <c r="N95" s="10">
        <f t="shared" si="1"/>
        <v>31.44109177280917</v>
      </c>
    </row>
    <row r="96" spans="1:14" x14ac:dyDescent="0.3">
      <c r="A96" t="s">
        <v>29</v>
      </c>
      <c r="B96" t="s">
        <v>30</v>
      </c>
      <c r="C96">
        <v>2020</v>
      </c>
      <c r="D96" s="9">
        <v>0.31778999328613283</v>
      </c>
      <c r="E96" s="9">
        <v>5.0771861591625202E-2</v>
      </c>
      <c r="F96" s="10">
        <v>48540</v>
      </c>
      <c r="G96" s="9">
        <v>0.89812899999999996</v>
      </c>
      <c r="H96" s="11">
        <v>83.160871</v>
      </c>
      <c r="I96" s="10">
        <v>3036.7464333718558</v>
      </c>
      <c r="J96" s="9">
        <v>0.16541741313777658</v>
      </c>
      <c r="K96" s="12">
        <v>0.51812786885245898</v>
      </c>
      <c r="L96" s="9">
        <v>3.8809999999999997E-2</v>
      </c>
      <c r="M96" s="12">
        <v>0.51812786885245898</v>
      </c>
      <c r="N96" s="10">
        <f t="shared" si="1"/>
        <v>36.5165299119084</v>
      </c>
    </row>
    <row r="97" spans="1:14" x14ac:dyDescent="0.3">
      <c r="A97" t="s">
        <v>29</v>
      </c>
      <c r="B97" t="s">
        <v>30</v>
      </c>
      <c r="C97">
        <v>2021</v>
      </c>
      <c r="D97" s="9">
        <v>0.32394001007080075</v>
      </c>
      <c r="E97" s="9">
        <v>5.0897407433981301E-2</v>
      </c>
      <c r="F97" s="10">
        <v>52850</v>
      </c>
      <c r="G97" s="9">
        <v>0.91430599999999995</v>
      </c>
      <c r="H97" s="11">
        <v>83.196078</v>
      </c>
      <c r="I97" s="10">
        <v>3425.7620039782778</v>
      </c>
      <c r="J97" s="9">
        <v>0.12559000573463774</v>
      </c>
      <c r="K97" s="12">
        <v>0.61240767123287687</v>
      </c>
      <c r="L97" s="9">
        <v>3.594E-2</v>
      </c>
      <c r="M97" s="12">
        <v>0.61240767123287687</v>
      </c>
      <c r="N97" s="10">
        <f t="shared" si="1"/>
        <v>41.176965144658354</v>
      </c>
    </row>
    <row r="98" spans="1:14" x14ac:dyDescent="0.3">
      <c r="A98" t="s">
        <v>29</v>
      </c>
      <c r="B98" t="s">
        <v>30</v>
      </c>
      <c r="C98">
        <v>2022</v>
      </c>
      <c r="D98" s="9">
        <v>0.3059900093078613</v>
      </c>
      <c r="E98" s="9">
        <v>4.8214185572856498E-2</v>
      </c>
      <c r="F98" s="10">
        <v>55200</v>
      </c>
      <c r="G98" s="9">
        <v>0.91629800000000006</v>
      </c>
      <c r="H98" s="11">
        <v>83.177813</v>
      </c>
      <c r="I98" s="10">
        <v>3049.9592283045558</v>
      </c>
      <c r="J98" s="9">
        <v>-0.11124710031955531</v>
      </c>
      <c r="K98" s="12">
        <v>0.19051506849315072</v>
      </c>
      <c r="L98" s="9">
        <v>3.1370000000000002E-2</v>
      </c>
      <c r="M98" s="12">
        <v>0.19051506849315072</v>
      </c>
      <c r="N98" s="10">
        <f t="shared" si="1"/>
        <v>36.667942066528674</v>
      </c>
    </row>
    <row r="99" spans="1:14" x14ac:dyDescent="0.3">
      <c r="A99" t="s">
        <v>29</v>
      </c>
      <c r="B99" t="s">
        <v>30</v>
      </c>
      <c r="C99">
        <v>2023</v>
      </c>
      <c r="D99" s="9"/>
      <c r="E99" s="9">
        <v>5.0931201609904699E-2</v>
      </c>
      <c r="F99" s="10">
        <v>55420</v>
      </c>
      <c r="G99" s="9">
        <v>0.92476400000000003</v>
      </c>
      <c r="H99" s="11">
        <v>83.287272999999999</v>
      </c>
      <c r="I99" s="10">
        <v>3107.5243019198142</v>
      </c>
      <c r="J99" s="9">
        <v>1.835717315959462E-2</v>
      </c>
      <c r="K99" s="12"/>
      <c r="L99" s="9">
        <v>3.0710000000000001E-2</v>
      </c>
      <c r="M99" s="12">
        <v>0</v>
      </c>
      <c r="N99" s="10">
        <f t="shared" si="1"/>
        <v>37.310914260811664</v>
      </c>
    </row>
    <row r="100" spans="1:14" x14ac:dyDescent="0.3">
      <c r="A100" t="s">
        <v>29</v>
      </c>
      <c r="B100" t="s">
        <v>30</v>
      </c>
      <c r="C100">
        <v>2024</v>
      </c>
      <c r="D100" s="9"/>
      <c r="E100" s="9"/>
      <c r="F100" s="10">
        <v>55090</v>
      </c>
      <c r="G100" s="9">
        <v>0.93500000000000005</v>
      </c>
      <c r="H100" s="11">
        <v>83.516593</v>
      </c>
      <c r="I100" s="10">
        <v>3205.028006082392</v>
      </c>
      <c r="J100" s="9">
        <v>3.1344637950882603E-2</v>
      </c>
      <c r="K100" s="12"/>
      <c r="L100" s="9">
        <v>3.4000000000000002E-2</v>
      </c>
      <c r="M100" s="12">
        <v>0</v>
      </c>
      <c r="N100" s="10">
        <f t="shared" si="1"/>
        <v>38.375942922891888</v>
      </c>
    </row>
    <row r="101" spans="1:14" x14ac:dyDescent="0.3">
      <c r="A101" t="s">
        <v>31</v>
      </c>
      <c r="B101" t="s">
        <v>32</v>
      </c>
      <c r="C101">
        <v>2014</v>
      </c>
      <c r="D101" s="9">
        <v>0.40951000213623046</v>
      </c>
      <c r="E101" s="9"/>
      <c r="F101" s="10">
        <v>40240</v>
      </c>
      <c r="G101" s="9"/>
      <c r="H101" s="11">
        <v>7.2294999999999998</v>
      </c>
      <c r="J101" s="9"/>
      <c r="K101" s="12"/>
      <c r="L101" s="9">
        <v>3.2959999999999996E-2</v>
      </c>
      <c r="M101" s="12">
        <v>0</v>
      </c>
      <c r="N101" s="10">
        <f t="shared" si="1"/>
        <v>0</v>
      </c>
    </row>
    <row r="102" spans="1:14" x14ac:dyDescent="0.3">
      <c r="A102" t="s">
        <v>31</v>
      </c>
      <c r="B102" t="s">
        <v>32</v>
      </c>
      <c r="C102">
        <v>2015</v>
      </c>
      <c r="D102" s="9">
        <v>0.40918998718261718</v>
      </c>
      <c r="E102" s="9"/>
      <c r="F102" s="10">
        <v>41180</v>
      </c>
      <c r="G102" s="9"/>
      <c r="H102" s="11">
        <v>7.2912999999999997</v>
      </c>
      <c r="I102" s="10">
        <v>130.82645291097921</v>
      </c>
      <c r="J102" s="9"/>
      <c r="K102" s="12"/>
      <c r="L102" s="9">
        <v>3.3140000000000003E-2</v>
      </c>
      <c r="M102" s="12">
        <v>0</v>
      </c>
      <c r="N102" s="10">
        <f t="shared" si="1"/>
        <v>17.942815809386421</v>
      </c>
    </row>
    <row r="103" spans="1:14" x14ac:dyDescent="0.3">
      <c r="A103" t="s">
        <v>31</v>
      </c>
      <c r="B103" t="s">
        <v>32</v>
      </c>
      <c r="C103">
        <v>2016</v>
      </c>
      <c r="D103" s="9">
        <v>0.40888000488281251</v>
      </c>
      <c r="E103" s="9"/>
      <c r="F103" s="10">
        <v>42970</v>
      </c>
      <c r="G103" s="9"/>
      <c r="H103" s="11">
        <v>7.3365999999999998</v>
      </c>
      <c r="I103" s="10">
        <v>211.45242877713341</v>
      </c>
      <c r="J103" s="9">
        <v>0.61662411941793538</v>
      </c>
      <c r="K103" s="12"/>
      <c r="L103" s="9">
        <v>3.3919999999999999E-2</v>
      </c>
      <c r="M103" s="12">
        <v>0</v>
      </c>
      <c r="N103" s="10">
        <f t="shared" si="1"/>
        <v>28.821583400639724</v>
      </c>
    </row>
    <row r="104" spans="1:14" x14ac:dyDescent="0.3">
      <c r="A104" t="s">
        <v>31</v>
      </c>
      <c r="B104" t="s">
        <v>32</v>
      </c>
      <c r="C104">
        <v>2017</v>
      </c>
      <c r="D104" s="9">
        <v>0.40888000488281251</v>
      </c>
      <c r="E104" s="9"/>
      <c r="F104" s="10">
        <v>46380</v>
      </c>
      <c r="G104" s="9"/>
      <c r="H104" s="11">
        <v>7.3932000000000002</v>
      </c>
      <c r="I104" s="10">
        <v>239.6879048719106</v>
      </c>
      <c r="J104" s="9">
        <v>0.13395312230951584</v>
      </c>
      <c r="K104" s="12"/>
      <c r="L104" s="9">
        <v>3.124E-2</v>
      </c>
      <c r="M104" s="12">
        <v>0</v>
      </c>
      <c r="N104" s="10">
        <f t="shared" si="1"/>
        <v>32.420048811328058</v>
      </c>
    </row>
    <row r="105" spans="1:14" x14ac:dyDescent="0.3">
      <c r="A105" t="s">
        <v>31</v>
      </c>
      <c r="B105" t="s">
        <v>32</v>
      </c>
      <c r="C105">
        <v>2018</v>
      </c>
      <c r="D105" s="9">
        <v>0.40888000488281251</v>
      </c>
      <c r="E105" s="9"/>
      <c r="F105" s="10">
        <v>50050</v>
      </c>
      <c r="G105" s="9"/>
      <c r="H105" s="11">
        <v>7.4526000000000003</v>
      </c>
      <c r="I105" s="10">
        <v>241.71345102197191</v>
      </c>
      <c r="J105" s="9">
        <v>9.6828905560992773E-3</v>
      </c>
      <c r="K105" s="12"/>
      <c r="L105" s="9">
        <v>2.8050000000000002E-2</v>
      </c>
      <c r="M105" s="12">
        <v>0</v>
      </c>
      <c r="N105" s="10">
        <f t="shared" si="1"/>
        <v>32.433439473736939</v>
      </c>
    </row>
    <row r="106" spans="1:14" x14ac:dyDescent="0.3">
      <c r="A106" t="s">
        <v>31</v>
      </c>
      <c r="B106" t="s">
        <v>32</v>
      </c>
      <c r="C106">
        <v>2019</v>
      </c>
      <c r="D106" s="9">
        <v>0.40888000488281251</v>
      </c>
      <c r="E106" s="9"/>
      <c r="F106" s="10">
        <v>50480</v>
      </c>
      <c r="G106" s="9"/>
      <c r="H106" s="11">
        <v>7.5079000000000002</v>
      </c>
      <c r="I106" s="10">
        <v>255.02512193957691</v>
      </c>
      <c r="J106" s="9">
        <v>5.5454223822101412E-2</v>
      </c>
      <c r="K106" s="12"/>
      <c r="L106" s="9">
        <v>2.9169999999999998E-2</v>
      </c>
      <c r="M106" s="12">
        <v>0</v>
      </c>
      <c r="N106" s="10">
        <f t="shared" si="1"/>
        <v>33.967570417770204</v>
      </c>
    </row>
    <row r="107" spans="1:14" x14ac:dyDescent="0.3">
      <c r="A107" t="s">
        <v>31</v>
      </c>
      <c r="B107" t="s">
        <v>32</v>
      </c>
      <c r="C107">
        <v>2020</v>
      </c>
      <c r="D107" s="9">
        <v>0.40888000488281251</v>
      </c>
      <c r="E107" s="9"/>
      <c r="F107" s="10">
        <v>48550</v>
      </c>
      <c r="G107" s="9"/>
      <c r="H107" s="11">
        <v>7.4809999999999999</v>
      </c>
      <c r="I107" s="10">
        <v>261.16475478175482</v>
      </c>
      <c r="J107" s="9">
        <v>2.6754073083529395E-2</v>
      </c>
      <c r="K107" s="12">
        <v>0.55324207650273227</v>
      </c>
      <c r="L107" s="9">
        <v>5.808E-2</v>
      </c>
      <c r="M107" s="12">
        <v>0.55324207650273227</v>
      </c>
      <c r="N107" s="10">
        <f t="shared" si="1"/>
        <v>34.91040700197231</v>
      </c>
    </row>
    <row r="108" spans="1:14" x14ac:dyDescent="0.3">
      <c r="A108" t="s">
        <v>31</v>
      </c>
      <c r="B108" t="s">
        <v>32</v>
      </c>
      <c r="C108">
        <v>2021</v>
      </c>
      <c r="D108" s="9">
        <v>0.40888000488281251</v>
      </c>
      <c r="E108" s="9"/>
      <c r="F108" s="10">
        <v>54380</v>
      </c>
      <c r="G108" s="9"/>
      <c r="H108" s="11">
        <v>7.4131</v>
      </c>
      <c r="I108" s="10">
        <v>283.38864153259829</v>
      </c>
      <c r="J108" s="9">
        <v>8.2678325909909756E-2</v>
      </c>
      <c r="K108" s="12">
        <v>0.6532454794520548</v>
      </c>
      <c r="L108" s="9">
        <v>5.1740000000000001E-2</v>
      </c>
      <c r="M108" s="12">
        <v>0.6532454794520548</v>
      </c>
      <c r="N108" s="10">
        <f t="shared" si="1"/>
        <v>38.228088321026057</v>
      </c>
    </row>
    <row r="109" spans="1:14" x14ac:dyDescent="0.3">
      <c r="A109" t="s">
        <v>31</v>
      </c>
      <c r="B109" t="s">
        <v>32</v>
      </c>
      <c r="C109">
        <v>2022</v>
      </c>
      <c r="D109" s="9">
        <v>0.40888000488281251</v>
      </c>
      <c r="E109" s="9"/>
      <c r="F109" s="10">
        <v>54000</v>
      </c>
      <c r="G109" s="9"/>
      <c r="H109" s="11">
        <v>7.3460999999999999</v>
      </c>
      <c r="I109" s="10">
        <v>236.2020800354687</v>
      </c>
      <c r="J109" s="9">
        <v>-0.16795758950126849</v>
      </c>
      <c r="K109" s="12">
        <v>0.53586931506849311</v>
      </c>
      <c r="L109" s="9">
        <v>4.3179999999999996E-2</v>
      </c>
      <c r="M109" s="12">
        <v>0.53586931506849311</v>
      </c>
      <c r="N109" s="10">
        <f t="shared" si="1"/>
        <v>32.153398406701335</v>
      </c>
    </row>
    <row r="110" spans="1:14" x14ac:dyDescent="0.3">
      <c r="A110" t="s">
        <v>31</v>
      </c>
      <c r="B110" t="s">
        <v>32</v>
      </c>
      <c r="C110">
        <v>2023</v>
      </c>
      <c r="D110" s="9"/>
      <c r="E110" s="9"/>
      <c r="F110" s="10">
        <v>54910</v>
      </c>
      <c r="G110" s="9"/>
      <c r="H110" s="11">
        <v>7.5361000000000002</v>
      </c>
      <c r="I110" s="10">
        <v>223.84516083763151</v>
      </c>
      <c r="J110" s="9">
        <v>-5.2795790872728898E-2</v>
      </c>
      <c r="K110" s="12"/>
      <c r="L110" s="9">
        <v>2.9489999999999999E-2</v>
      </c>
      <c r="M110" s="12">
        <v>0</v>
      </c>
      <c r="N110" s="10">
        <f t="shared" si="1"/>
        <v>29.703050760689415</v>
      </c>
    </row>
    <row r="111" spans="1:14" x14ac:dyDescent="0.3">
      <c r="A111" t="s">
        <v>31</v>
      </c>
      <c r="B111" t="s">
        <v>32</v>
      </c>
      <c r="C111">
        <v>2024</v>
      </c>
      <c r="D111" s="9"/>
      <c r="E111" s="9"/>
      <c r="F111" s="10">
        <v>57070</v>
      </c>
      <c r="G111" s="9"/>
      <c r="H111" s="11">
        <v>7.5240999999999998</v>
      </c>
      <c r="I111" s="10">
        <v>306.62488205125192</v>
      </c>
      <c r="J111" s="9">
        <v>0.36976543811495199</v>
      </c>
      <c r="K111" s="12"/>
      <c r="L111" s="9">
        <v>2.988E-2</v>
      </c>
      <c r="M111" s="12">
        <v>0</v>
      </c>
      <c r="N111" s="10">
        <f t="shared" si="1"/>
        <v>40.752366668605141</v>
      </c>
    </row>
    <row r="112" spans="1:14" x14ac:dyDescent="0.3">
      <c r="A112" t="s">
        <v>33</v>
      </c>
      <c r="B112" t="s">
        <v>34</v>
      </c>
      <c r="C112">
        <v>2014</v>
      </c>
      <c r="D112" s="9">
        <v>0.51133998870849606</v>
      </c>
      <c r="E112" s="9">
        <v>3.2021951446870998E-2</v>
      </c>
      <c r="F112" s="10">
        <v>1540</v>
      </c>
      <c r="G112" s="9">
        <v>0.13500000000000001</v>
      </c>
      <c r="H112" s="11">
        <v>1312.2771909999999</v>
      </c>
      <c r="J112" s="9"/>
      <c r="K112" s="12"/>
      <c r="L112" s="9">
        <v>7.6560000000000003E-2</v>
      </c>
      <c r="M112" s="12">
        <v>0</v>
      </c>
      <c r="N112" s="10">
        <f t="shared" si="1"/>
        <v>0</v>
      </c>
    </row>
    <row r="113" spans="1:14" x14ac:dyDescent="0.3">
      <c r="A113" t="s">
        <v>33</v>
      </c>
      <c r="B113" t="s">
        <v>34</v>
      </c>
      <c r="C113">
        <v>2015</v>
      </c>
      <c r="D113" s="9">
        <v>0.5098899841308594</v>
      </c>
      <c r="E113" s="9">
        <v>3.2162426919558298E-2</v>
      </c>
      <c r="F113" s="10">
        <v>1580</v>
      </c>
      <c r="G113" s="9">
        <v>0.14899999999999999</v>
      </c>
      <c r="H113" s="11">
        <v>1328.024498</v>
      </c>
      <c r="I113" s="10">
        <v>762.52184778334572</v>
      </c>
      <c r="J113" s="9"/>
      <c r="K113" s="12"/>
      <c r="L113" s="9">
        <v>7.6289999999999997E-2</v>
      </c>
      <c r="M113" s="12">
        <v>0</v>
      </c>
      <c r="N113" s="10">
        <f t="shared" si="1"/>
        <v>0.57417754637184837</v>
      </c>
    </row>
    <row r="114" spans="1:14" x14ac:dyDescent="0.3">
      <c r="A114" t="s">
        <v>33</v>
      </c>
      <c r="B114" t="s">
        <v>34</v>
      </c>
      <c r="C114">
        <v>2016</v>
      </c>
      <c r="D114" s="9">
        <v>0.5084299850463867</v>
      </c>
      <c r="E114" s="9">
        <v>3.2324418299853698E-2</v>
      </c>
      <c r="F114" s="10">
        <v>1670</v>
      </c>
      <c r="G114" s="9">
        <v>0.16500000000000001</v>
      </c>
      <c r="H114" s="11">
        <v>1343.9442959999999</v>
      </c>
      <c r="I114" s="10">
        <v>980.29252807887826</v>
      </c>
      <c r="J114" s="9">
        <v>0.28586490546985988</v>
      </c>
      <c r="K114" s="12"/>
      <c r="L114" s="9">
        <v>7.6109999999999997E-2</v>
      </c>
      <c r="M114" s="12">
        <v>0</v>
      </c>
      <c r="N114" s="10">
        <f t="shared" si="1"/>
        <v>0.72941455311543535</v>
      </c>
    </row>
    <row r="115" spans="1:14" x14ac:dyDescent="0.3">
      <c r="A115" t="s">
        <v>33</v>
      </c>
      <c r="B115" t="s">
        <v>34</v>
      </c>
      <c r="C115">
        <v>2017</v>
      </c>
      <c r="D115" s="9">
        <v>0.50895000457763673</v>
      </c>
      <c r="E115" s="9">
        <v>3.2611125557423903E-2</v>
      </c>
      <c r="F115" s="10">
        <v>1790</v>
      </c>
      <c r="G115" s="9">
        <v>0.182</v>
      </c>
      <c r="H115" s="11">
        <v>1359.6574000000001</v>
      </c>
      <c r="I115" s="10">
        <v>1216.1417220482481</v>
      </c>
      <c r="J115" s="9">
        <v>0.24105250485287</v>
      </c>
      <c r="K115" s="12"/>
      <c r="L115" s="9">
        <v>7.6260000000000008E-2</v>
      </c>
      <c r="M115" s="12">
        <v>0</v>
      </c>
      <c r="N115" s="10">
        <f t="shared" si="1"/>
        <v>0.8944471762138374</v>
      </c>
    </row>
    <row r="116" spans="1:14" x14ac:dyDescent="0.3">
      <c r="A116" t="s">
        <v>33</v>
      </c>
      <c r="B116" t="s">
        <v>34</v>
      </c>
      <c r="C116">
        <v>2018</v>
      </c>
      <c r="D116" s="9">
        <v>0.52061000823974612</v>
      </c>
      <c r="E116" s="9">
        <v>3.2639162364224199E-2</v>
      </c>
      <c r="F116" s="10">
        <v>1970</v>
      </c>
      <c r="G116" s="9">
        <v>0.20081299999999999</v>
      </c>
      <c r="H116" s="11">
        <v>1374.6590639999999</v>
      </c>
      <c r="I116" s="10">
        <v>1491.1179360251231</v>
      </c>
      <c r="J116" s="9">
        <v>0.22760345896091838</v>
      </c>
      <c r="K116" s="12"/>
      <c r="L116" s="9">
        <v>7.6520000000000005E-2</v>
      </c>
      <c r="M116" s="12">
        <v>0</v>
      </c>
      <c r="N116" s="10">
        <f t="shared" si="1"/>
        <v>1.0847183676847476</v>
      </c>
    </row>
    <row r="117" spans="1:14" x14ac:dyDescent="0.3">
      <c r="A117" t="s">
        <v>33</v>
      </c>
      <c r="B117" t="s">
        <v>34</v>
      </c>
      <c r="C117">
        <v>2019</v>
      </c>
      <c r="D117" s="9">
        <v>0.50766998291015619</v>
      </c>
      <c r="E117" s="9">
        <v>3.2885234156214201E-2</v>
      </c>
      <c r="F117" s="10">
        <v>2070</v>
      </c>
      <c r="G117" s="9">
        <v>0.29523499999999997</v>
      </c>
      <c r="H117" s="11">
        <v>1389.0303120000001</v>
      </c>
      <c r="I117" s="10">
        <v>1734.384942099849</v>
      </c>
      <c r="J117" s="9">
        <v>0.16356529005537279</v>
      </c>
      <c r="K117" s="12"/>
      <c r="L117" s="9">
        <v>6.5099999999999991E-2</v>
      </c>
      <c r="M117" s="12">
        <v>0</v>
      </c>
      <c r="N117" s="10">
        <f t="shared" si="1"/>
        <v>1.248630017009916</v>
      </c>
    </row>
    <row r="118" spans="1:14" x14ac:dyDescent="0.3">
      <c r="A118" t="s">
        <v>33</v>
      </c>
      <c r="B118" t="s">
        <v>34</v>
      </c>
      <c r="C118">
        <v>2020</v>
      </c>
      <c r="D118" s="9">
        <v>0.49971000671386717</v>
      </c>
      <c r="E118" s="9">
        <v>3.9306188182983801E-2</v>
      </c>
      <c r="F118" s="10">
        <v>1900</v>
      </c>
      <c r="G118" s="9">
        <v>0.434054</v>
      </c>
      <c r="H118" s="11">
        <v>1402.6176949999999</v>
      </c>
      <c r="I118" s="10">
        <v>1919.306513779944</v>
      </c>
      <c r="J118" s="9">
        <v>0.10951626797426162</v>
      </c>
      <c r="K118" s="12">
        <v>0.64766557377049183</v>
      </c>
      <c r="L118" s="9">
        <v>7.8589999999999993E-2</v>
      </c>
      <c r="M118" s="12">
        <v>0.64766557377049183</v>
      </c>
      <c r="N118" s="10">
        <f t="shared" si="1"/>
        <v>1.3683746616214933</v>
      </c>
    </row>
    <row r="119" spans="1:14" x14ac:dyDescent="0.3">
      <c r="A119" t="s">
        <v>33</v>
      </c>
      <c r="B119" t="s">
        <v>34</v>
      </c>
      <c r="C119">
        <v>2021</v>
      </c>
      <c r="D119" s="9">
        <v>0.4996699905395508</v>
      </c>
      <c r="E119" s="9">
        <v>3.8766983969099597E-2</v>
      </c>
      <c r="F119" s="10">
        <v>2170</v>
      </c>
      <c r="G119" s="9">
        <v>0.49652699999999994</v>
      </c>
      <c r="H119" s="11">
        <v>1414.203896</v>
      </c>
      <c r="I119" s="10">
        <v>2405.829547200226</v>
      </c>
      <c r="J119" s="9">
        <v>0.25069694013773081</v>
      </c>
      <c r="K119" s="12">
        <v>0.67123999999999995</v>
      </c>
      <c r="L119" s="9">
        <v>6.3799999999999996E-2</v>
      </c>
      <c r="M119" s="12">
        <v>0.67123999999999995</v>
      </c>
      <c r="N119" s="10">
        <f t="shared" si="1"/>
        <v>1.7011900151067227</v>
      </c>
    </row>
    <row r="120" spans="1:14" x14ac:dyDescent="0.3">
      <c r="A120" t="s">
        <v>33</v>
      </c>
      <c r="B120" t="s">
        <v>34</v>
      </c>
      <c r="C120">
        <v>2022</v>
      </c>
      <c r="D120" s="9">
        <v>0.48983001708984381</v>
      </c>
      <c r="E120" s="9">
        <v>3.9079465086644199E-2</v>
      </c>
      <c r="F120" s="10">
        <v>2390</v>
      </c>
      <c r="G120" s="9">
        <v>0.55899999999999994</v>
      </c>
      <c r="H120" s="11">
        <v>1425.4232119999999</v>
      </c>
      <c r="I120" s="10">
        <v>2441.4234483639002</v>
      </c>
      <c r="J120" s="9">
        <v>1.3030315655071512E-2</v>
      </c>
      <c r="K120" s="12">
        <v>0.41686109589041104</v>
      </c>
      <c r="L120" s="9">
        <v>4.8219999999999999E-2</v>
      </c>
      <c r="M120" s="12">
        <v>0.41686109589041104</v>
      </c>
      <c r="N120" s="10">
        <f t="shared" si="1"/>
        <v>1.7127709355443697</v>
      </c>
    </row>
    <row r="121" spans="1:14" x14ac:dyDescent="0.3">
      <c r="A121" t="s">
        <v>33</v>
      </c>
      <c r="B121" t="s">
        <v>34</v>
      </c>
      <c r="C121">
        <v>2023</v>
      </c>
      <c r="D121" s="9"/>
      <c r="E121" s="9">
        <v>3.9497780336857601E-2</v>
      </c>
      <c r="F121" s="10">
        <v>2580</v>
      </c>
      <c r="G121" s="9"/>
      <c r="H121" s="11">
        <v>1438.069596</v>
      </c>
      <c r="I121" s="10">
        <v>2668.6663197725629</v>
      </c>
      <c r="J121" s="9">
        <v>9.2523507070603417E-2</v>
      </c>
      <c r="K121" s="12"/>
      <c r="L121" s="9">
        <v>4.172E-2</v>
      </c>
      <c r="M121" s="12">
        <v>0</v>
      </c>
      <c r="N121" s="10">
        <f t="shared" si="1"/>
        <v>1.8557282117607352</v>
      </c>
    </row>
    <row r="122" spans="1:14" x14ac:dyDescent="0.3">
      <c r="A122" t="s">
        <v>33</v>
      </c>
      <c r="B122" t="s">
        <v>34</v>
      </c>
      <c r="C122">
        <v>2024</v>
      </c>
      <c r="D122" s="9"/>
      <c r="E122" s="9"/>
      <c r="F122" s="10">
        <v>2650</v>
      </c>
      <c r="G122" s="9"/>
      <c r="H122" s="11">
        <v>1450.9357910000001</v>
      </c>
      <c r="I122" s="10">
        <v>2709.2450268757939</v>
      </c>
      <c r="J122" s="9">
        <v>1.5174102240262499E-2</v>
      </c>
      <c r="K122" s="12"/>
      <c r="L122" s="9">
        <v>4.1730000000000003E-2</v>
      </c>
      <c r="M122" s="12">
        <v>0</v>
      </c>
      <c r="N122" s="10">
        <f t="shared" si="1"/>
        <v>1.867239779789672</v>
      </c>
    </row>
    <row r="123" spans="1:14" x14ac:dyDescent="0.3">
      <c r="A123" t="s">
        <v>35</v>
      </c>
      <c r="B123" t="s">
        <v>36</v>
      </c>
      <c r="C123">
        <v>2014</v>
      </c>
      <c r="D123" s="9">
        <v>0.40275001525878912</v>
      </c>
      <c r="E123" s="9">
        <v>2.0014230295282199E-2</v>
      </c>
      <c r="F123" s="10">
        <v>3570</v>
      </c>
      <c r="G123" s="9">
        <v>0.171432</v>
      </c>
      <c r="H123" s="11">
        <v>258.87739900000003</v>
      </c>
      <c r="J123" s="9"/>
      <c r="K123" s="12"/>
      <c r="L123" s="9">
        <v>4.0490000000000005E-2</v>
      </c>
      <c r="M123" s="12">
        <v>0</v>
      </c>
      <c r="N123" s="10">
        <f t="shared" si="1"/>
        <v>0</v>
      </c>
    </row>
    <row r="124" spans="1:14" x14ac:dyDescent="0.3">
      <c r="A124" t="s">
        <v>35</v>
      </c>
      <c r="B124" t="s">
        <v>36</v>
      </c>
      <c r="C124">
        <v>2015</v>
      </c>
      <c r="D124" s="9">
        <v>0.39853000640869141</v>
      </c>
      <c r="E124" s="9">
        <v>2.0551479797761299E-2</v>
      </c>
      <c r="F124" s="10">
        <v>3390</v>
      </c>
      <c r="G124" s="9">
        <v>0.22062699999999999</v>
      </c>
      <c r="H124" s="11">
        <v>261.79924899999997</v>
      </c>
      <c r="I124" s="10">
        <v>330.58832170751913</v>
      </c>
      <c r="J124" s="9"/>
      <c r="K124" s="12"/>
      <c r="L124" s="9">
        <v>4.514E-2</v>
      </c>
      <c r="M124" s="12">
        <v>0</v>
      </c>
      <c r="N124" s="10">
        <f t="shared" si="1"/>
        <v>1.2627550421564393</v>
      </c>
    </row>
    <row r="125" spans="1:14" x14ac:dyDescent="0.3">
      <c r="A125" t="s">
        <v>35</v>
      </c>
      <c r="B125" t="s">
        <v>36</v>
      </c>
      <c r="C125">
        <v>2016</v>
      </c>
      <c r="D125" s="9">
        <v>0.38831001281738281</v>
      </c>
      <c r="E125" s="9">
        <v>2.05790230264262E-2</v>
      </c>
      <c r="F125" s="10">
        <v>3370</v>
      </c>
      <c r="G125" s="9">
        <v>0.25447399999999998</v>
      </c>
      <c r="H125" s="11">
        <v>264.62741799999998</v>
      </c>
      <c r="I125" s="10">
        <v>343.8952841199204</v>
      </c>
      <c r="J125" s="9">
        <v>4.0472617714995662E-2</v>
      </c>
      <c r="K125" s="12"/>
      <c r="L125" s="9">
        <v>4.301E-2</v>
      </c>
      <c r="M125" s="12">
        <v>0</v>
      </c>
      <c r="N125" s="10">
        <f t="shared" si="1"/>
        <v>1.2995451745666069</v>
      </c>
    </row>
    <row r="126" spans="1:14" x14ac:dyDescent="0.3">
      <c r="A126" t="s">
        <v>35</v>
      </c>
      <c r="B126" t="s">
        <v>36</v>
      </c>
      <c r="C126">
        <v>2017</v>
      </c>
      <c r="D126" s="9">
        <v>0.38451000213623049</v>
      </c>
      <c r="E126" s="9">
        <v>2.1084843861923601E-2</v>
      </c>
      <c r="F126" s="10">
        <v>3490</v>
      </c>
      <c r="G126" s="9">
        <v>0.32335799999999998</v>
      </c>
      <c r="H126" s="11">
        <v>267.34665799999999</v>
      </c>
      <c r="I126" s="10">
        <v>414.39677101212038</v>
      </c>
      <c r="J126" s="9">
        <v>0.20545721929295802</v>
      </c>
      <c r="K126" s="12"/>
      <c r="L126" s="9">
        <v>3.7830000000000003E-2</v>
      </c>
      <c r="M126" s="12">
        <v>0</v>
      </c>
      <c r="N126" s="10">
        <f t="shared" si="1"/>
        <v>1.5500353515252112</v>
      </c>
    </row>
    <row r="127" spans="1:14" x14ac:dyDescent="0.3">
      <c r="A127" t="s">
        <v>35</v>
      </c>
      <c r="B127" t="s">
        <v>36</v>
      </c>
      <c r="C127">
        <v>2018</v>
      </c>
      <c r="D127" s="9">
        <v>0.38441001892089838</v>
      </c>
      <c r="E127" s="9">
        <v>2.13700552250509E-2</v>
      </c>
      <c r="F127" s="10">
        <v>3810</v>
      </c>
      <c r="G127" s="9">
        <v>0.39904600000000001</v>
      </c>
      <c r="H127" s="11">
        <v>269.95184599999999</v>
      </c>
      <c r="I127" s="10">
        <v>584.61700152486696</v>
      </c>
      <c r="J127" s="9">
        <v>0.41248998008366788</v>
      </c>
      <c r="K127" s="12"/>
      <c r="L127" s="9">
        <v>4.3869999999999992E-2</v>
      </c>
      <c r="M127" s="12">
        <v>0</v>
      </c>
      <c r="N127" s="10">
        <f t="shared" si="1"/>
        <v>2.1656343906789473</v>
      </c>
    </row>
    <row r="128" spans="1:14" x14ac:dyDescent="0.3">
      <c r="A128" t="s">
        <v>35</v>
      </c>
      <c r="B128" t="s">
        <v>36</v>
      </c>
      <c r="C128">
        <v>2019</v>
      </c>
      <c r="D128" s="9">
        <v>0.37659999847412107</v>
      </c>
      <c r="E128" s="9">
        <v>2.1516034480211301E-2</v>
      </c>
      <c r="F128" s="10">
        <v>4020</v>
      </c>
      <c r="G128" s="9">
        <v>0.47690600000000005</v>
      </c>
      <c r="H128" s="11">
        <v>272.48938099999998</v>
      </c>
      <c r="I128" s="10">
        <v>665.61283409740781</v>
      </c>
      <c r="J128" s="9">
        <v>0.13895745985741614</v>
      </c>
      <c r="K128" s="12"/>
      <c r="L128" s="9">
        <v>3.5900000000000001E-2</v>
      </c>
      <c r="M128" s="12">
        <v>0</v>
      </c>
      <c r="N128" s="10">
        <f t="shared" si="1"/>
        <v>2.4427110944826427</v>
      </c>
    </row>
    <row r="129" spans="1:14" x14ac:dyDescent="0.3">
      <c r="A129" t="s">
        <v>35</v>
      </c>
      <c r="B129" t="s">
        <v>36</v>
      </c>
      <c r="C129">
        <v>2020</v>
      </c>
      <c r="D129" s="9">
        <v>0.37672000885009771</v>
      </c>
      <c r="E129" s="9">
        <v>2.53003489686132E-2</v>
      </c>
      <c r="F129" s="10">
        <v>3850</v>
      </c>
      <c r="G129" s="9">
        <v>0.53726499999999999</v>
      </c>
      <c r="H129" s="11">
        <v>274.81486599999999</v>
      </c>
      <c r="I129" s="10">
        <v>740.90265676981085</v>
      </c>
      <c r="J129" s="9">
        <v>0.11602595845124775</v>
      </c>
      <c r="K129" s="12">
        <v>0.55066939890710376</v>
      </c>
      <c r="L129" s="9">
        <v>4.2549999999999998E-2</v>
      </c>
      <c r="M129" s="12">
        <v>0.55066939890710376</v>
      </c>
      <c r="N129" s="10">
        <f t="shared" si="1"/>
        <v>2.6960064699331472</v>
      </c>
    </row>
    <row r="130" spans="1:14" x14ac:dyDescent="0.3">
      <c r="A130" t="s">
        <v>35</v>
      </c>
      <c r="B130" t="s">
        <v>36</v>
      </c>
      <c r="C130">
        <v>2021</v>
      </c>
      <c r="D130" s="9">
        <v>0.37814998626708979</v>
      </c>
      <c r="E130" s="9">
        <v>2.59547264153034E-2</v>
      </c>
      <c r="F130" s="10">
        <v>4130</v>
      </c>
      <c r="G130" s="9">
        <v>0.62104500000000007</v>
      </c>
      <c r="H130" s="11">
        <v>276.75805300000002</v>
      </c>
      <c r="I130" s="10">
        <v>883.14049633979232</v>
      </c>
      <c r="J130" s="9">
        <v>0.18932409589470578</v>
      </c>
      <c r="K130" s="12">
        <v>0.68636301369863018</v>
      </c>
      <c r="L130" s="9">
        <v>3.8269999999999998E-2</v>
      </c>
      <c r="M130" s="12">
        <v>0.68636301369863018</v>
      </c>
      <c r="N130" s="10">
        <f t="shared" si="1"/>
        <v>3.1910200507870758</v>
      </c>
    </row>
    <row r="131" spans="1:14" x14ac:dyDescent="0.3">
      <c r="A131" t="s">
        <v>35</v>
      </c>
      <c r="B131" t="s">
        <v>36</v>
      </c>
      <c r="C131">
        <v>2022</v>
      </c>
      <c r="D131" s="9">
        <v>0.37764999389648435</v>
      </c>
      <c r="E131" s="9">
        <v>2.5617698775611999E-2</v>
      </c>
      <c r="F131" s="10">
        <v>4520</v>
      </c>
      <c r="G131" s="9">
        <v>0.66484600000000005</v>
      </c>
      <c r="H131" s="11">
        <v>278.83052900000001</v>
      </c>
      <c r="I131" s="10">
        <v>918.88466346014582</v>
      </c>
      <c r="J131" s="9">
        <v>3.8664739288769567E-2</v>
      </c>
      <c r="K131" s="12">
        <v>0.39671342465753417</v>
      </c>
      <c r="L131" s="9">
        <v>3.4620000000000005E-2</v>
      </c>
      <c r="M131" s="12">
        <v>0.39671342465753417</v>
      </c>
      <c r="N131" s="10">
        <f t="shared" si="1"/>
        <v>3.2954951767858454</v>
      </c>
    </row>
    <row r="132" spans="1:14" x14ac:dyDescent="0.3">
      <c r="A132" t="s">
        <v>35</v>
      </c>
      <c r="B132" t="s">
        <v>36</v>
      </c>
      <c r="C132">
        <v>2023</v>
      </c>
      <c r="D132" s="9"/>
      <c r="E132" s="9">
        <v>2.6082526777895201E-2</v>
      </c>
      <c r="F132" s="10">
        <v>4810</v>
      </c>
      <c r="G132" s="9">
        <v>0.69208399999999992</v>
      </c>
      <c r="H132" s="11">
        <v>281.190067</v>
      </c>
      <c r="I132" s="10">
        <v>977.36430280896786</v>
      </c>
      <c r="J132" s="9">
        <v>6.3102395472985462E-2</v>
      </c>
      <c r="K132" s="12"/>
      <c r="L132" s="9">
        <v>3.3079999999999998E-2</v>
      </c>
      <c r="M132" s="12">
        <v>0</v>
      </c>
      <c r="N132" s="10">
        <f t="shared" si="1"/>
        <v>3.4758137555725535</v>
      </c>
    </row>
    <row r="133" spans="1:14" x14ac:dyDescent="0.3">
      <c r="A133" t="s">
        <v>35</v>
      </c>
      <c r="B133" t="s">
        <v>36</v>
      </c>
      <c r="C133">
        <v>2024</v>
      </c>
      <c r="D133" s="9"/>
      <c r="E133" s="9"/>
      <c r="F133" s="10">
        <v>4910</v>
      </c>
      <c r="G133" s="9">
        <v>0.72780800000000001</v>
      </c>
      <c r="H133" s="11">
        <v>283.487931</v>
      </c>
      <c r="I133" s="10">
        <v>996.94807879395989</v>
      </c>
      <c r="J133" s="9">
        <v>2.00056743710324E-2</v>
      </c>
      <c r="K133" s="12"/>
      <c r="L133" s="9">
        <v>3.3010000000000005E-2</v>
      </c>
      <c r="M133" s="12">
        <v>0</v>
      </c>
      <c r="N133" s="10">
        <f t="shared" si="1"/>
        <v>3.516721418358935</v>
      </c>
    </row>
    <row r="134" spans="1:14" x14ac:dyDescent="0.3">
      <c r="A134" t="s">
        <v>37</v>
      </c>
      <c r="B134" t="s">
        <v>38</v>
      </c>
      <c r="C134">
        <v>2014</v>
      </c>
      <c r="D134" s="9">
        <v>0.33939998626708978</v>
      </c>
      <c r="E134" s="9">
        <v>3.5916127955006899E-2</v>
      </c>
      <c r="F134" s="10">
        <v>6660</v>
      </c>
      <c r="G134" s="9"/>
      <c r="H134" s="11">
        <v>81.502044999999995</v>
      </c>
      <c r="J134" s="9"/>
      <c r="K134" s="12"/>
      <c r="L134" s="9">
        <v>0.10679999999999999</v>
      </c>
      <c r="M134" s="12">
        <v>0</v>
      </c>
      <c r="N134" s="10">
        <f t="shared" si="1"/>
        <v>0</v>
      </c>
    </row>
    <row r="135" spans="1:14" x14ac:dyDescent="0.3">
      <c r="A135" t="s">
        <v>37</v>
      </c>
      <c r="B135" t="s">
        <v>38</v>
      </c>
      <c r="C135">
        <v>2015</v>
      </c>
      <c r="D135" s="9">
        <v>0.34645999908447273</v>
      </c>
      <c r="E135" s="9">
        <v>3.69034740769658E-2</v>
      </c>
      <c r="F135" s="10">
        <v>5460</v>
      </c>
      <c r="G135" s="9"/>
      <c r="H135" s="11">
        <v>82.619361999999995</v>
      </c>
      <c r="I135" s="10">
        <v>146.7550865073965</v>
      </c>
      <c r="J135" s="9"/>
      <c r="K135" s="12"/>
      <c r="L135" s="9">
        <v>0.11166000000000001</v>
      </c>
      <c r="M135" s="12">
        <v>0</v>
      </c>
      <c r="N135" s="10">
        <f t="shared" ref="N135:N198" si="2">I135/H135</f>
        <v>1.7762795905806741</v>
      </c>
    </row>
    <row r="136" spans="1:14" x14ac:dyDescent="0.3">
      <c r="A136" t="s">
        <v>37</v>
      </c>
      <c r="B136" t="s">
        <v>38</v>
      </c>
      <c r="C136">
        <v>2016</v>
      </c>
      <c r="D136" s="9">
        <v>0.35007999420166025</v>
      </c>
      <c r="E136" s="9">
        <v>3.6734721710097097E-2</v>
      </c>
      <c r="F136" s="10">
        <v>5530</v>
      </c>
      <c r="G136" s="9"/>
      <c r="H136" s="11">
        <v>83.812228000000005</v>
      </c>
      <c r="I136" s="10">
        <v>166.40709767833999</v>
      </c>
      <c r="J136" s="9">
        <v>0.13415033663338383</v>
      </c>
      <c r="K136" s="12"/>
      <c r="L136" s="9">
        <v>0.12618000000000001</v>
      </c>
      <c r="M136" s="12">
        <v>0</v>
      </c>
      <c r="N136" s="10">
        <f t="shared" si="2"/>
        <v>1.9854751705006575</v>
      </c>
    </row>
    <row r="137" spans="1:14" x14ac:dyDescent="0.3">
      <c r="A137" t="s">
        <v>37</v>
      </c>
      <c r="B137" t="s">
        <v>38</v>
      </c>
      <c r="C137">
        <v>2017</v>
      </c>
      <c r="D137" s="9">
        <v>0.35500999450683585</v>
      </c>
      <c r="E137" s="9">
        <v>3.69321546277541E-2</v>
      </c>
      <c r="F137" s="10">
        <v>5640</v>
      </c>
      <c r="G137" s="9"/>
      <c r="H137" s="11">
        <v>85.026753999999997</v>
      </c>
      <c r="I137" s="10">
        <v>181.3840760970873</v>
      </c>
      <c r="J137" s="9">
        <v>9.0407853947383376E-2</v>
      </c>
      <c r="K137" s="12"/>
      <c r="L137" s="9">
        <v>0.12232</v>
      </c>
      <c r="M137" s="12">
        <v>0</v>
      </c>
      <c r="N137" s="10">
        <f t="shared" si="2"/>
        <v>2.1332588575248597</v>
      </c>
    </row>
    <row r="138" spans="1:14" x14ac:dyDescent="0.3">
      <c r="A138" t="s">
        <v>37</v>
      </c>
      <c r="B138" t="s">
        <v>38</v>
      </c>
      <c r="C138">
        <v>2018</v>
      </c>
      <c r="D138" s="9">
        <v>0.36108001708984383</v>
      </c>
      <c r="E138" s="9">
        <v>3.7966279840393802E-2</v>
      </c>
      <c r="F138" s="10">
        <v>5390</v>
      </c>
      <c r="G138" s="9"/>
      <c r="H138" s="11">
        <v>86.117998</v>
      </c>
      <c r="I138" s="10">
        <v>133.4741860855269</v>
      </c>
      <c r="J138" s="9">
        <v>-0.26323595885520101</v>
      </c>
      <c r="K138" s="12"/>
      <c r="L138" s="9">
        <v>0.12195</v>
      </c>
      <c r="M138" s="12">
        <v>0</v>
      </c>
      <c r="N138" s="10">
        <f t="shared" si="2"/>
        <v>1.5498988502441371</v>
      </c>
    </row>
    <row r="139" spans="1:14" x14ac:dyDescent="0.3">
      <c r="A139" t="s">
        <v>37</v>
      </c>
      <c r="B139" t="s">
        <v>38</v>
      </c>
      <c r="C139">
        <v>2019</v>
      </c>
      <c r="D139" s="9">
        <v>0.36652999877929687</v>
      </c>
      <c r="E139" s="9">
        <v>3.8354360333141102E-2</v>
      </c>
      <c r="F139" s="10">
        <v>4710</v>
      </c>
      <c r="G139" s="9"/>
      <c r="H139" s="11">
        <v>87.051648</v>
      </c>
      <c r="I139" s="10">
        <v>148.65726248633001</v>
      </c>
      <c r="J139" s="9">
        <v>0.11415626604367435</v>
      </c>
      <c r="K139" s="12"/>
      <c r="L139" s="9">
        <v>0.1074</v>
      </c>
      <c r="M139" s="12">
        <v>0</v>
      </c>
      <c r="N139" s="10">
        <f t="shared" si="2"/>
        <v>1.7076903872782514</v>
      </c>
    </row>
    <row r="140" spans="1:14" x14ac:dyDescent="0.3">
      <c r="A140" t="s">
        <v>37</v>
      </c>
      <c r="B140" t="s">
        <v>38</v>
      </c>
      <c r="C140">
        <v>2020</v>
      </c>
      <c r="D140" s="9">
        <v>0.35969001770019532</v>
      </c>
      <c r="E140" s="9">
        <v>4.7311149285843401E-2</v>
      </c>
      <c r="F140" s="10">
        <v>3980</v>
      </c>
      <c r="G140" s="9"/>
      <c r="H140" s="11">
        <v>87.723443000000003</v>
      </c>
      <c r="I140" s="10">
        <v>145.1158843560363</v>
      </c>
      <c r="J140" s="9">
        <v>-2.1268303616929107E-2</v>
      </c>
      <c r="K140" s="12">
        <v>0.48179453551912571</v>
      </c>
      <c r="L140" s="9">
        <v>9.6869999999999998E-2</v>
      </c>
      <c r="M140" s="12">
        <v>0.48179453551912571</v>
      </c>
      <c r="N140" s="10">
        <f t="shared" si="2"/>
        <v>1.6542429183500731</v>
      </c>
    </row>
    <row r="141" spans="1:14" x14ac:dyDescent="0.3">
      <c r="A141" t="s">
        <v>37</v>
      </c>
      <c r="B141" t="s">
        <v>38</v>
      </c>
      <c r="C141">
        <v>2021</v>
      </c>
      <c r="D141" s="9">
        <v>0.35476001739501956</v>
      </c>
      <c r="E141" s="9">
        <v>4.7407282359483903E-2</v>
      </c>
      <c r="F141" s="10">
        <v>4110</v>
      </c>
      <c r="G141" s="9"/>
      <c r="H141" s="11">
        <v>88.455488000000003</v>
      </c>
      <c r="I141" s="10">
        <v>234.93916055471601</v>
      </c>
      <c r="J141" s="9">
        <v>0.61537006305371067</v>
      </c>
      <c r="K141" s="12">
        <v>0.73563342465753423</v>
      </c>
      <c r="L141" s="9">
        <v>9.282E-2</v>
      </c>
      <c r="M141" s="12">
        <v>0.73563342465753423</v>
      </c>
      <c r="N141" s="10">
        <f t="shared" si="2"/>
        <v>2.6560156511116189</v>
      </c>
    </row>
    <row r="142" spans="1:14" x14ac:dyDescent="0.3">
      <c r="A142" t="s">
        <v>37</v>
      </c>
      <c r="B142" t="s">
        <v>38</v>
      </c>
      <c r="C142">
        <v>2022</v>
      </c>
      <c r="D142" s="9">
        <v>0.35183998107910164</v>
      </c>
      <c r="E142" s="9">
        <v>4.6778537556910603E-2</v>
      </c>
      <c r="F142" s="10">
        <v>4390</v>
      </c>
      <c r="G142" s="9"/>
      <c r="H142" s="11">
        <v>89.524246000000005</v>
      </c>
      <c r="I142" s="10">
        <v>282.09201780130007</v>
      </c>
      <c r="J142" s="9">
        <v>0.19861461757005783</v>
      </c>
      <c r="K142" s="12">
        <v>0.56297972602739721</v>
      </c>
      <c r="L142" s="9">
        <v>9.0850000000000014E-2</v>
      </c>
      <c r="M142" s="12">
        <v>0.56297972602739721</v>
      </c>
      <c r="N142" s="10">
        <f t="shared" si="2"/>
        <v>3.1510124955567909</v>
      </c>
    </row>
    <row r="143" spans="1:14" x14ac:dyDescent="0.3">
      <c r="A143" t="s">
        <v>37</v>
      </c>
      <c r="B143" t="s">
        <v>38</v>
      </c>
      <c r="C143">
        <v>2023</v>
      </c>
      <c r="D143" s="9"/>
      <c r="E143" s="9">
        <v>4.8043635378185803E-2</v>
      </c>
      <c r="F143" s="10">
        <v>5070</v>
      </c>
      <c r="G143" s="9"/>
      <c r="H143" s="11">
        <v>90.608706999999995</v>
      </c>
      <c r="I143" s="10">
        <v>257.19916082833862</v>
      </c>
      <c r="J143" s="9">
        <v>-8.8706281169664392E-2</v>
      </c>
      <c r="K143" s="12"/>
      <c r="L143" s="9">
        <v>8.1290000000000001E-2</v>
      </c>
      <c r="M143" s="12">
        <v>0</v>
      </c>
      <c r="N143" s="10">
        <f t="shared" si="2"/>
        <v>2.8385700375167988</v>
      </c>
    </row>
    <row r="144" spans="1:14" x14ac:dyDescent="0.3">
      <c r="A144" t="s">
        <v>37</v>
      </c>
      <c r="B144" t="s">
        <v>38</v>
      </c>
      <c r="C144">
        <v>2024</v>
      </c>
      <c r="D144" s="9"/>
      <c r="E144" s="9"/>
      <c r="F144" s="10">
        <v>5130</v>
      </c>
      <c r="G144" s="9"/>
      <c r="H144" s="11">
        <v>91.567738000000006</v>
      </c>
      <c r="I144" s="10">
        <v>297.36255271795562</v>
      </c>
      <c r="J144" s="9">
        <v>0.15612089092609494</v>
      </c>
      <c r="K144" s="12"/>
      <c r="L144" s="9">
        <v>8.1460000000000005E-2</v>
      </c>
      <c r="M144" s="12">
        <v>0</v>
      </c>
      <c r="N144" s="10">
        <f t="shared" si="2"/>
        <v>3.2474598500833953</v>
      </c>
    </row>
    <row r="145" spans="1:14" x14ac:dyDescent="0.3">
      <c r="A145" t="s">
        <v>39</v>
      </c>
      <c r="B145" t="s">
        <v>40</v>
      </c>
      <c r="C145">
        <v>2014</v>
      </c>
      <c r="D145" s="9">
        <v>0.33237998962402338</v>
      </c>
      <c r="E145" s="9">
        <v>3.5385668120494901E-2</v>
      </c>
      <c r="F145" s="10">
        <v>47580</v>
      </c>
      <c r="G145" s="9">
        <v>0.83491699999999991</v>
      </c>
      <c r="H145" s="11">
        <v>4.6577400000000004</v>
      </c>
      <c r="J145" s="9"/>
      <c r="K145" s="12"/>
      <c r="L145" s="9">
        <v>0.11858</v>
      </c>
      <c r="M145" s="12">
        <v>0</v>
      </c>
      <c r="N145" s="10">
        <f t="shared" si="2"/>
        <v>0</v>
      </c>
    </row>
    <row r="146" spans="1:14" x14ac:dyDescent="0.3">
      <c r="A146" t="s">
        <v>39</v>
      </c>
      <c r="B146" t="s">
        <v>40</v>
      </c>
      <c r="C146">
        <v>2015</v>
      </c>
      <c r="D146" s="9">
        <v>0.31889999389648443</v>
      </c>
      <c r="E146" s="9">
        <v>3.4780567831947697E-2</v>
      </c>
      <c r="F146" s="10">
        <v>52340</v>
      </c>
      <c r="G146" s="9">
        <v>0.83494800000000002</v>
      </c>
      <c r="H146" s="11">
        <v>4.7019570000000002</v>
      </c>
      <c r="I146" s="10">
        <v>107.8134471999941</v>
      </c>
      <c r="J146" s="9"/>
      <c r="K146" s="12"/>
      <c r="L146" s="9">
        <v>9.9080000000000001E-2</v>
      </c>
      <c r="M146" s="12">
        <v>0</v>
      </c>
      <c r="N146" s="10">
        <f t="shared" si="2"/>
        <v>22.929483872352321</v>
      </c>
    </row>
    <row r="147" spans="1:14" x14ac:dyDescent="0.3">
      <c r="A147" t="s">
        <v>39</v>
      </c>
      <c r="B147" t="s">
        <v>40</v>
      </c>
      <c r="C147">
        <v>2016</v>
      </c>
      <c r="D147" s="9">
        <v>0.31940000534057622</v>
      </c>
      <c r="E147" s="9">
        <v>3.6339360538822502E-2</v>
      </c>
      <c r="F147" s="10">
        <v>52880</v>
      </c>
      <c r="G147" s="9">
        <v>0.83499999999999996</v>
      </c>
      <c r="H147" s="11">
        <v>4.7627220000000001</v>
      </c>
      <c r="I147" s="10">
        <v>129.0423373169977</v>
      </c>
      <c r="J147" s="9">
        <v>0.19715733593266882</v>
      </c>
      <c r="K147" s="12"/>
      <c r="L147" s="9">
        <v>8.3740000000000009E-2</v>
      </c>
      <c r="M147" s="12">
        <v>0</v>
      </c>
      <c r="N147" s="10">
        <f t="shared" si="2"/>
        <v>27.094240922942323</v>
      </c>
    </row>
    <row r="148" spans="1:14" x14ac:dyDescent="0.3">
      <c r="A148" t="s">
        <v>39</v>
      </c>
      <c r="B148" t="s">
        <v>40</v>
      </c>
      <c r="C148">
        <v>2017</v>
      </c>
      <c r="D148" s="9">
        <v>0.32869998931884775</v>
      </c>
      <c r="E148" s="9">
        <v>3.4869252810669903E-2</v>
      </c>
      <c r="F148" s="10">
        <v>54410</v>
      </c>
      <c r="G148" s="9">
        <v>0.84114</v>
      </c>
      <c r="H148" s="11">
        <v>4.827445</v>
      </c>
      <c r="I148" s="10">
        <v>160.97694672574539</v>
      </c>
      <c r="J148" s="9">
        <v>0.24793833222111594</v>
      </c>
      <c r="K148" s="12"/>
      <c r="L148" s="9">
        <v>6.7129999999999995E-2</v>
      </c>
      <c r="M148" s="12">
        <v>0</v>
      </c>
      <c r="N148" s="10">
        <f t="shared" si="2"/>
        <v>33.34620005525602</v>
      </c>
    </row>
    <row r="149" spans="1:14" x14ac:dyDescent="0.3">
      <c r="A149" t="s">
        <v>39</v>
      </c>
      <c r="B149" t="s">
        <v>40</v>
      </c>
      <c r="C149">
        <v>2018</v>
      </c>
      <c r="D149" s="9">
        <v>0.31305000305175779</v>
      </c>
      <c r="E149" s="9">
        <v>3.59729843082328E-2</v>
      </c>
      <c r="F149" s="10">
        <v>59110</v>
      </c>
      <c r="G149" s="9">
        <v>0.87000100000000002</v>
      </c>
      <c r="H149" s="11">
        <v>4.8980220000000001</v>
      </c>
      <c r="I149" s="10">
        <v>203.13263446161329</v>
      </c>
      <c r="J149" s="9">
        <v>0.26341582531041818</v>
      </c>
      <c r="K149" s="12"/>
      <c r="L149" s="9">
        <v>5.7409999999999996E-2</v>
      </c>
      <c r="M149" s="12">
        <v>0</v>
      </c>
      <c r="N149" s="10">
        <f t="shared" si="2"/>
        <v>41.472380985959902</v>
      </c>
    </row>
    <row r="150" spans="1:14" x14ac:dyDescent="0.3">
      <c r="A150" t="s">
        <v>39</v>
      </c>
      <c r="B150" t="s">
        <v>40</v>
      </c>
      <c r="C150">
        <v>2019</v>
      </c>
      <c r="D150" s="9">
        <v>0.30290000915527338</v>
      </c>
      <c r="E150" s="9">
        <v>3.6294507733315898E-2</v>
      </c>
      <c r="F150" s="10">
        <v>62460</v>
      </c>
      <c r="G150" s="9">
        <v>0.87000100000000002</v>
      </c>
      <c r="H150" s="11">
        <v>4.9764559999999998</v>
      </c>
      <c r="I150" s="10">
        <v>229.79196160876211</v>
      </c>
      <c r="J150" s="9">
        <v>0.13165068022730364</v>
      </c>
      <c r="K150" s="12"/>
      <c r="L150" s="9">
        <v>4.9500000000000002E-2</v>
      </c>
      <c r="M150" s="12">
        <v>0</v>
      </c>
      <c r="N150" s="10">
        <f t="shared" si="2"/>
        <v>46.175825046732477</v>
      </c>
    </row>
    <row r="151" spans="1:14" x14ac:dyDescent="0.3">
      <c r="A151" t="s">
        <v>39</v>
      </c>
      <c r="B151" t="s">
        <v>40</v>
      </c>
      <c r="C151">
        <v>2020</v>
      </c>
      <c r="D151" s="9">
        <v>0.30577999114990229</v>
      </c>
      <c r="E151" s="9">
        <v>4.17924172352711E-2</v>
      </c>
      <c r="F151" s="10">
        <v>64420</v>
      </c>
      <c r="G151" s="9">
        <v>0.91999900000000001</v>
      </c>
      <c r="H151" s="11">
        <v>5.0397470000000002</v>
      </c>
      <c r="I151" s="10">
        <v>283.10433092250958</v>
      </c>
      <c r="J151" s="9">
        <v>0.23522624956968574</v>
      </c>
      <c r="K151" s="12">
        <v>0.56543661202185791</v>
      </c>
      <c r="L151" s="9">
        <v>5.6230000000000002E-2</v>
      </c>
      <c r="M151" s="12">
        <v>0.56543661202185791</v>
      </c>
      <c r="N151" s="10">
        <f t="shared" si="2"/>
        <v>56.174314092058502</v>
      </c>
    </row>
    <row r="152" spans="1:14" x14ac:dyDescent="0.3">
      <c r="A152" t="s">
        <v>39</v>
      </c>
      <c r="B152" t="s">
        <v>40</v>
      </c>
      <c r="C152">
        <v>2021</v>
      </c>
      <c r="D152" s="9">
        <v>0.29732000350952148</v>
      </c>
      <c r="E152" s="9">
        <v>4.2735145965144002E-2</v>
      </c>
      <c r="F152" s="10">
        <v>74070</v>
      </c>
      <c r="G152" s="9">
        <v>0.96423500000000006</v>
      </c>
      <c r="H152" s="11">
        <v>5.1105850000000004</v>
      </c>
      <c r="I152" s="10">
        <v>361.39397156995142</v>
      </c>
      <c r="J152" s="9">
        <v>0.2736965156425375</v>
      </c>
      <c r="K152" s="12">
        <v>0.58556520547945212</v>
      </c>
      <c r="L152" s="9">
        <v>6.3570000000000002E-2</v>
      </c>
      <c r="M152" s="12">
        <v>0.58556520547945212</v>
      </c>
      <c r="N152" s="10">
        <f t="shared" si="2"/>
        <v>70.714795188799599</v>
      </c>
    </row>
    <row r="153" spans="1:14" x14ac:dyDescent="0.3">
      <c r="A153" t="s">
        <v>39</v>
      </c>
      <c r="B153" t="s">
        <v>40</v>
      </c>
      <c r="C153">
        <v>2022</v>
      </c>
      <c r="D153" s="9">
        <v>0.3069700050354004</v>
      </c>
      <c r="E153" s="9">
        <v>4.1957817480816298E-2</v>
      </c>
      <c r="F153" s="10">
        <v>75970</v>
      </c>
      <c r="G153" s="9">
        <v>0.96620600000000001</v>
      </c>
      <c r="H153" s="11">
        <v>5.2128360000000002</v>
      </c>
      <c r="I153" s="10">
        <v>355.8387712644377</v>
      </c>
      <c r="J153" s="9">
        <v>-1.7083677216684134E-2</v>
      </c>
      <c r="K153" s="12">
        <v>0.12490301369863011</v>
      </c>
      <c r="L153" s="9">
        <v>4.4649999999999995E-2</v>
      </c>
      <c r="M153" s="12">
        <v>0.12490301369863011</v>
      </c>
      <c r="N153" s="10">
        <f t="shared" si="2"/>
        <v>68.262030738054619</v>
      </c>
    </row>
    <row r="154" spans="1:14" x14ac:dyDescent="0.3">
      <c r="A154" t="s">
        <v>39</v>
      </c>
      <c r="B154" t="s">
        <v>40</v>
      </c>
      <c r="C154">
        <v>2023</v>
      </c>
      <c r="D154" s="9"/>
      <c r="E154" s="9">
        <v>4.2832122931096499E-2</v>
      </c>
      <c r="F154" s="10">
        <v>79280</v>
      </c>
      <c r="G154" s="9">
        <v>0.964974</v>
      </c>
      <c r="H154" s="11">
        <v>5.3115379999999996</v>
      </c>
      <c r="I154" s="10">
        <v>398.95997917174719</v>
      </c>
      <c r="J154" s="9">
        <v>0.12061309609790372</v>
      </c>
      <c r="K154" s="12"/>
      <c r="L154" s="9">
        <v>4.2430000000000002E-2</v>
      </c>
      <c r="M154" s="12">
        <v>0</v>
      </c>
      <c r="N154" s="10">
        <f t="shared" si="2"/>
        <v>75.11195046928917</v>
      </c>
    </row>
    <row r="155" spans="1:14" x14ac:dyDescent="0.3">
      <c r="A155" t="s">
        <v>39</v>
      </c>
      <c r="B155" t="s">
        <v>40</v>
      </c>
      <c r="C155">
        <v>2024</v>
      </c>
      <c r="D155" s="9"/>
      <c r="E155" s="9"/>
      <c r="F155" s="10">
        <v>80650</v>
      </c>
      <c r="G155" s="9"/>
      <c r="H155" s="11">
        <v>5.3957899999999999</v>
      </c>
      <c r="I155" s="10">
        <v>367.99098862991718</v>
      </c>
      <c r="J155" s="9">
        <v>-7.7652932955010967E-2</v>
      </c>
      <c r="K155" s="12"/>
      <c r="L155" s="9">
        <v>4.2999999999999997E-2</v>
      </c>
      <c r="M155" s="12">
        <v>0</v>
      </c>
      <c r="N155" s="10">
        <f t="shared" si="2"/>
        <v>68.199649843659074</v>
      </c>
    </row>
    <row r="156" spans="1:14" x14ac:dyDescent="0.3">
      <c r="A156" t="s">
        <v>41</v>
      </c>
      <c r="B156" t="s">
        <v>42</v>
      </c>
      <c r="C156">
        <v>2014</v>
      </c>
      <c r="D156" s="9">
        <v>0.3994599914550781</v>
      </c>
      <c r="E156" s="9">
        <v>4.3012688816688099E-2</v>
      </c>
      <c r="F156" s="10">
        <v>37080</v>
      </c>
      <c r="G156" s="9">
        <v>0.7501779999999999</v>
      </c>
      <c r="H156" s="11">
        <v>8.2157</v>
      </c>
      <c r="J156" s="9"/>
      <c r="K156" s="12"/>
      <c r="L156" s="9">
        <v>5.7889999999999997E-2</v>
      </c>
      <c r="M156" s="12">
        <v>0</v>
      </c>
      <c r="N156" s="10">
        <f t="shared" si="2"/>
        <v>0</v>
      </c>
    </row>
    <row r="157" spans="1:14" x14ac:dyDescent="0.3">
      <c r="A157" t="s">
        <v>41</v>
      </c>
      <c r="B157" t="s">
        <v>42</v>
      </c>
      <c r="C157">
        <v>2015</v>
      </c>
      <c r="D157" s="9">
        <v>0.39862998962402335</v>
      </c>
      <c r="E157" s="9">
        <v>4.3076811370877301E-2</v>
      </c>
      <c r="F157" s="10">
        <v>36980</v>
      </c>
      <c r="G157" s="9">
        <v>0.7735209999999999</v>
      </c>
      <c r="H157" s="11">
        <v>8.3801000000000005</v>
      </c>
      <c r="I157" s="10">
        <v>108.7007576776282</v>
      </c>
      <c r="J157" s="9"/>
      <c r="K157" s="12"/>
      <c r="L157" s="9">
        <v>5.176E-2</v>
      </c>
      <c r="M157" s="12">
        <v>0</v>
      </c>
      <c r="N157" s="10">
        <f t="shared" si="2"/>
        <v>12.971296008117827</v>
      </c>
    </row>
    <row r="158" spans="1:14" x14ac:dyDescent="0.3">
      <c r="A158" t="s">
        <v>41</v>
      </c>
      <c r="B158" t="s">
        <v>42</v>
      </c>
      <c r="C158">
        <v>2016</v>
      </c>
      <c r="D158" s="9">
        <v>0.3913299942016602</v>
      </c>
      <c r="E158" s="9">
        <v>4.36403321644536E-2</v>
      </c>
      <c r="F158" s="10">
        <v>37310</v>
      </c>
      <c r="G158" s="9">
        <v>0.79653099999999999</v>
      </c>
      <c r="H158" s="11">
        <v>8.5459999999999994</v>
      </c>
      <c r="I158" s="10">
        <v>125.69239104763609</v>
      </c>
      <c r="J158" s="9">
        <v>0.1565605094751934</v>
      </c>
      <c r="K158" s="12"/>
      <c r="L158" s="9">
        <v>4.7230000000000001E-2</v>
      </c>
      <c r="M158" s="12">
        <v>0</v>
      </c>
      <c r="N158" s="10">
        <f t="shared" si="2"/>
        <v>14.707745266514873</v>
      </c>
    </row>
    <row r="159" spans="1:14" x14ac:dyDescent="0.3">
      <c r="A159" t="s">
        <v>41</v>
      </c>
      <c r="B159" t="s">
        <v>42</v>
      </c>
      <c r="C159">
        <v>2017</v>
      </c>
      <c r="D159" s="9">
        <v>0.38308998107910164</v>
      </c>
      <c r="E159" s="9">
        <v>4.4012765336976498E-2</v>
      </c>
      <c r="F159" s="10">
        <v>38700</v>
      </c>
      <c r="G159" s="9">
        <v>0.81581199999999998</v>
      </c>
      <c r="H159" s="11">
        <v>8.7133000000000003</v>
      </c>
      <c r="I159" s="10">
        <v>145.98087605765431</v>
      </c>
      <c r="J159" s="9">
        <v>0.16184618832346898</v>
      </c>
      <c r="K159" s="12"/>
      <c r="L159" s="9">
        <v>4.1399999999999999E-2</v>
      </c>
      <c r="M159" s="12">
        <v>0</v>
      </c>
      <c r="N159" s="10">
        <f t="shared" si="2"/>
        <v>16.753798911738873</v>
      </c>
    </row>
    <row r="160" spans="1:14" x14ac:dyDescent="0.3">
      <c r="A160" t="s">
        <v>41</v>
      </c>
      <c r="B160" t="s">
        <v>42</v>
      </c>
      <c r="C160">
        <v>2018</v>
      </c>
      <c r="D160" s="9">
        <v>0.38701000213623049</v>
      </c>
      <c r="E160" s="9">
        <v>4.3825086849046499E-2</v>
      </c>
      <c r="F160" s="10">
        <v>42060</v>
      </c>
      <c r="G160" s="9">
        <v>0.83733199999999997</v>
      </c>
      <c r="H160" s="11">
        <v>8.8827999999999996</v>
      </c>
      <c r="I160" s="10">
        <v>187.4585608250778</v>
      </c>
      <c r="J160" s="9">
        <v>0.28569990018936453</v>
      </c>
      <c r="K160" s="12"/>
      <c r="L160" s="9">
        <v>3.9169999999999996E-2</v>
      </c>
      <c r="M160" s="12">
        <v>0</v>
      </c>
      <c r="N160" s="10">
        <f t="shared" si="2"/>
        <v>21.10354402047528</v>
      </c>
    </row>
    <row r="161" spans="1:14" x14ac:dyDescent="0.3">
      <c r="A161" t="s">
        <v>41</v>
      </c>
      <c r="B161" t="s">
        <v>42</v>
      </c>
      <c r="C161">
        <v>2019</v>
      </c>
      <c r="D161" s="9">
        <v>0.38377998352050779</v>
      </c>
      <c r="E161" s="9">
        <v>4.4206802719590398E-2</v>
      </c>
      <c r="F161" s="10">
        <v>44280</v>
      </c>
      <c r="G161" s="9">
        <v>0.86787899999999996</v>
      </c>
      <c r="H161" s="11">
        <v>9.0540000000000003</v>
      </c>
      <c r="I161" s="10">
        <v>224.17712186649661</v>
      </c>
      <c r="J161" s="9">
        <v>0.19630871880804657</v>
      </c>
      <c r="K161" s="12"/>
      <c r="L161" s="9">
        <v>3.7309999999999996E-2</v>
      </c>
      <c r="M161" s="12">
        <v>0</v>
      </c>
      <c r="N161" s="10">
        <f t="shared" si="2"/>
        <v>24.760009042025249</v>
      </c>
    </row>
    <row r="162" spans="1:14" x14ac:dyDescent="0.3">
      <c r="A162" t="s">
        <v>41</v>
      </c>
      <c r="B162" t="s">
        <v>42</v>
      </c>
      <c r="C162">
        <v>2020</v>
      </c>
      <c r="D162" s="9">
        <v>0.37919998168945313</v>
      </c>
      <c r="E162" s="9">
        <v>5.2314861850418899E-2</v>
      </c>
      <c r="F162" s="10">
        <v>43370</v>
      </c>
      <c r="G162" s="9">
        <v>0.9012730000000001</v>
      </c>
      <c r="H162" s="11">
        <v>9.2150999999999996</v>
      </c>
      <c r="I162" s="10">
        <v>264.05515651175091</v>
      </c>
      <c r="J162" s="9">
        <v>0.18096817750573457</v>
      </c>
      <c r="K162" s="12">
        <v>0.58047431693989082</v>
      </c>
      <c r="L162" s="9">
        <v>4.1689999999999998E-2</v>
      </c>
      <c r="M162" s="12">
        <v>0.58047431693989082</v>
      </c>
      <c r="N162" s="10">
        <f t="shared" si="2"/>
        <v>28.654616500282245</v>
      </c>
    </row>
    <row r="163" spans="1:14" x14ac:dyDescent="0.3">
      <c r="A163" t="s">
        <v>41</v>
      </c>
      <c r="B163" t="s">
        <v>42</v>
      </c>
      <c r="C163">
        <v>2021</v>
      </c>
      <c r="D163" s="9">
        <v>0.38134998321533203</v>
      </c>
      <c r="E163" s="9">
        <v>5.3317999894799302E-2</v>
      </c>
      <c r="F163" s="10">
        <v>49680</v>
      </c>
      <c r="G163" s="9">
        <v>0.90296899999999991</v>
      </c>
      <c r="H163" s="11">
        <v>9.3713999999999995</v>
      </c>
      <c r="I163" s="10">
        <v>342.14613342313311</v>
      </c>
      <c r="J163" s="9">
        <v>0.29285123231428289</v>
      </c>
      <c r="K163" s="12">
        <v>0.51760794520547937</v>
      </c>
      <c r="L163" s="9">
        <v>4.8120000000000003E-2</v>
      </c>
      <c r="M163" s="12">
        <v>0.51760794520547937</v>
      </c>
      <c r="N163" s="10">
        <f t="shared" si="2"/>
        <v>36.50960725431986</v>
      </c>
    </row>
    <row r="164" spans="1:14" x14ac:dyDescent="0.3">
      <c r="A164" t="s">
        <v>41</v>
      </c>
      <c r="B164" t="s">
        <v>42</v>
      </c>
      <c r="C164">
        <v>2022</v>
      </c>
      <c r="D164" s="9">
        <v>0.38134998321533203</v>
      </c>
      <c r="E164" s="9">
        <v>5.2211171525511697E-2</v>
      </c>
      <c r="F164" s="10">
        <v>55450</v>
      </c>
      <c r="G164" s="9">
        <v>0.9185080000000001</v>
      </c>
      <c r="H164" s="11">
        <v>9.5574999999999992</v>
      </c>
      <c r="I164" s="10">
        <v>344.62766082803603</v>
      </c>
      <c r="J164" s="9">
        <v>5.5014030870492725E-3</v>
      </c>
      <c r="K164" s="12">
        <v>0.20001534246575339</v>
      </c>
      <c r="L164" s="9">
        <v>3.6949999999999997E-2</v>
      </c>
      <c r="M164" s="12">
        <v>0.20001534246575339</v>
      </c>
      <c r="N164" s="10">
        <f t="shared" si="2"/>
        <v>36.058347980961138</v>
      </c>
    </row>
    <row r="165" spans="1:14" x14ac:dyDescent="0.3">
      <c r="A165" t="s">
        <v>41</v>
      </c>
      <c r="B165" t="s">
        <v>42</v>
      </c>
      <c r="C165">
        <v>2023</v>
      </c>
      <c r="D165" s="9"/>
      <c r="E165" s="9">
        <v>5.40327117413789E-2</v>
      </c>
      <c r="F165" s="10">
        <v>54280</v>
      </c>
      <c r="G165" s="9">
        <v>0.87038399999999994</v>
      </c>
      <c r="H165" s="11">
        <v>9.8490000000000002</v>
      </c>
      <c r="I165" s="10">
        <v>358.98255872127419</v>
      </c>
      <c r="J165" s="9">
        <v>4.1124924130191198E-2</v>
      </c>
      <c r="K165" s="12"/>
      <c r="L165" s="9">
        <v>3.3709999999999997E-2</v>
      </c>
      <c r="M165" s="12">
        <v>0</v>
      </c>
      <c r="N165" s="10">
        <f t="shared" si="2"/>
        <v>36.448630187965698</v>
      </c>
    </row>
    <row r="166" spans="1:14" x14ac:dyDescent="0.3">
      <c r="A166" t="s">
        <v>41</v>
      </c>
      <c r="B166" t="s">
        <v>42</v>
      </c>
      <c r="C166">
        <v>2024</v>
      </c>
      <c r="D166" s="9"/>
      <c r="E166" s="9"/>
      <c r="F166" s="10">
        <v>52910</v>
      </c>
      <c r="G166" s="9">
        <v>0.88182400000000005</v>
      </c>
      <c r="H166" s="11">
        <v>9.9743999999999993</v>
      </c>
      <c r="I166" s="10">
        <v>342.37560953781781</v>
      </c>
      <c r="J166" s="9">
        <v>-4.62907617193693E-2</v>
      </c>
      <c r="K166" s="12"/>
      <c r="L166" s="9">
        <v>3.5950000000000003E-2</v>
      </c>
      <c r="M166" s="12">
        <v>0</v>
      </c>
      <c r="N166" s="10">
        <f t="shared" si="2"/>
        <v>34.325434064988151</v>
      </c>
    </row>
    <row r="167" spans="1:14" x14ac:dyDescent="0.3">
      <c r="A167" t="s">
        <v>43</v>
      </c>
      <c r="B167" t="s">
        <v>44</v>
      </c>
      <c r="C167">
        <v>2014</v>
      </c>
      <c r="D167" s="9">
        <v>0.35994998931884775</v>
      </c>
      <c r="E167" s="9">
        <v>2.5249806311788199E-2</v>
      </c>
      <c r="F167" s="10">
        <v>35370</v>
      </c>
      <c r="G167" s="9">
        <v>0.55638500000000002</v>
      </c>
      <c r="H167" s="11">
        <v>60.320706999999999</v>
      </c>
      <c r="J167" s="9"/>
      <c r="K167" s="12"/>
      <c r="L167" s="9">
        <v>0.12683</v>
      </c>
      <c r="M167" s="12">
        <v>0</v>
      </c>
      <c r="N167" s="10">
        <f t="shared" si="2"/>
        <v>0</v>
      </c>
    </row>
    <row r="168" spans="1:14" x14ac:dyDescent="0.3">
      <c r="A168" t="s">
        <v>43</v>
      </c>
      <c r="B168" t="s">
        <v>44</v>
      </c>
      <c r="C168">
        <v>2015</v>
      </c>
      <c r="D168" s="9">
        <v>0.36173000335693362</v>
      </c>
      <c r="E168" s="9">
        <v>2.5913158891253601E-2</v>
      </c>
      <c r="F168" s="10">
        <v>33460</v>
      </c>
      <c r="G168" s="9">
        <v>0.58141699999999996</v>
      </c>
      <c r="H168" s="11">
        <v>60.229604999999999</v>
      </c>
      <c r="I168" s="10">
        <v>816.36296159798815</v>
      </c>
      <c r="J168" s="9"/>
      <c r="K168" s="12"/>
      <c r="L168" s="9">
        <v>0.11896000000000001</v>
      </c>
      <c r="M168" s="12">
        <v>0</v>
      </c>
      <c r="N168" s="10">
        <f t="shared" si="2"/>
        <v>13.554180898214227</v>
      </c>
    </row>
    <row r="169" spans="1:14" x14ac:dyDescent="0.3">
      <c r="A169" t="s">
        <v>43</v>
      </c>
      <c r="B169" t="s">
        <v>44</v>
      </c>
      <c r="C169">
        <v>2016</v>
      </c>
      <c r="D169" s="9">
        <v>0.36351001739501954</v>
      </c>
      <c r="E169" s="9">
        <v>2.55368976042081E-2</v>
      </c>
      <c r="F169" s="10">
        <v>32400</v>
      </c>
      <c r="G169" s="9">
        <v>0.61324299999999998</v>
      </c>
      <c r="H169" s="11">
        <v>60.115223</v>
      </c>
      <c r="I169" s="10">
        <v>810.63706298026625</v>
      </c>
      <c r="J169" s="9">
        <v>-6.80366956505285E-3</v>
      </c>
      <c r="K169" s="12"/>
      <c r="L169" s="9">
        <v>0.11688000000000001</v>
      </c>
      <c r="M169" s="12">
        <v>0</v>
      </c>
      <c r="N169" s="10">
        <f t="shared" si="2"/>
        <v>13.484721881182512</v>
      </c>
    </row>
    <row r="170" spans="1:14" x14ac:dyDescent="0.3">
      <c r="A170" t="s">
        <v>43</v>
      </c>
      <c r="B170" t="s">
        <v>44</v>
      </c>
      <c r="C170">
        <v>2017</v>
      </c>
      <c r="D170" s="9">
        <v>0.36018001556396478</v>
      </c>
      <c r="E170" s="9">
        <v>2.5506298791550999E-2</v>
      </c>
      <c r="F170" s="10">
        <v>31790</v>
      </c>
      <c r="G170" s="9">
        <v>0.63077300000000003</v>
      </c>
      <c r="H170" s="11">
        <v>60.002251999999999</v>
      </c>
      <c r="I170" s="10">
        <v>942.38978500528549</v>
      </c>
      <c r="J170" s="9">
        <v>0.16296266764447331</v>
      </c>
      <c r="K170" s="12"/>
      <c r="L170" s="9">
        <v>0.11211</v>
      </c>
      <c r="M170" s="12">
        <v>0</v>
      </c>
      <c r="N170" s="10">
        <f t="shared" si="2"/>
        <v>15.705906921714963</v>
      </c>
    </row>
    <row r="171" spans="1:14" x14ac:dyDescent="0.3">
      <c r="A171" t="s">
        <v>43</v>
      </c>
      <c r="B171" t="s">
        <v>44</v>
      </c>
      <c r="C171">
        <v>2018</v>
      </c>
      <c r="D171" s="9">
        <v>0.36721000671386717</v>
      </c>
      <c r="E171" s="9">
        <v>2.56905961515068E-2</v>
      </c>
      <c r="F171" s="10">
        <v>34120</v>
      </c>
      <c r="G171" s="9">
        <v>0.74387200000000009</v>
      </c>
      <c r="H171" s="11">
        <v>60.148657999999998</v>
      </c>
      <c r="I171" s="10">
        <v>1094.7744169144351</v>
      </c>
      <c r="J171" s="9">
        <v>0.16311958195818077</v>
      </c>
      <c r="K171" s="12"/>
      <c r="L171" s="9">
        <v>0.10538</v>
      </c>
      <c r="M171" s="12">
        <v>0</v>
      </c>
      <c r="N171" s="10">
        <f t="shared" si="2"/>
        <v>18.201144519540819</v>
      </c>
    </row>
    <row r="172" spans="1:14" x14ac:dyDescent="0.3">
      <c r="A172" t="s">
        <v>43</v>
      </c>
      <c r="B172" t="s">
        <v>44</v>
      </c>
      <c r="C172">
        <v>2019</v>
      </c>
      <c r="D172" s="9">
        <v>0.36020999908447271</v>
      </c>
      <c r="E172" s="9">
        <v>2.6181357760325999E-2</v>
      </c>
      <c r="F172" s="10">
        <v>35030</v>
      </c>
      <c r="G172" s="9">
        <v>0.67850700000000008</v>
      </c>
      <c r="H172" s="11">
        <v>59.729081000000001</v>
      </c>
      <c r="I172" s="10">
        <v>1166.983620023404</v>
      </c>
      <c r="J172" s="9">
        <v>6.6344117419544046E-2</v>
      </c>
      <c r="K172" s="12"/>
      <c r="L172" s="9">
        <v>9.8839999999999997E-2</v>
      </c>
      <c r="M172" s="12">
        <v>0</v>
      </c>
      <c r="N172" s="10">
        <f t="shared" si="2"/>
        <v>19.537947018193766</v>
      </c>
    </row>
    <row r="173" spans="1:14" x14ac:dyDescent="0.3">
      <c r="A173" t="s">
        <v>43</v>
      </c>
      <c r="B173" t="s">
        <v>44</v>
      </c>
      <c r="C173">
        <v>2020</v>
      </c>
      <c r="D173" s="9">
        <v>0.35398998260498049</v>
      </c>
      <c r="E173" s="9">
        <v>3.0286361801125299E-2</v>
      </c>
      <c r="F173" s="10">
        <v>32600</v>
      </c>
      <c r="G173" s="9">
        <v>0.70483400000000007</v>
      </c>
      <c r="H173" s="11">
        <v>59.438851</v>
      </c>
      <c r="I173" s="10">
        <v>1280.683453408697</v>
      </c>
      <c r="J173" s="9">
        <v>0.10030191701157554</v>
      </c>
      <c r="K173" s="12">
        <v>0.64645327868852465</v>
      </c>
      <c r="L173" s="9">
        <v>9.1920000000000002E-2</v>
      </c>
      <c r="M173" s="12">
        <v>0.64645327868852465</v>
      </c>
      <c r="N173" s="10">
        <f t="shared" si="2"/>
        <v>21.546235027468768</v>
      </c>
    </row>
    <row r="174" spans="1:14" x14ac:dyDescent="0.3">
      <c r="A174" t="s">
        <v>43</v>
      </c>
      <c r="B174" t="s">
        <v>44</v>
      </c>
      <c r="C174">
        <v>2021</v>
      </c>
      <c r="D174" s="9">
        <v>0.36058998107910162</v>
      </c>
      <c r="E174" s="9">
        <v>2.97654183494988E-2</v>
      </c>
      <c r="F174" s="10">
        <v>36760</v>
      </c>
      <c r="G174" s="9">
        <v>0.74862300000000004</v>
      </c>
      <c r="H174" s="11">
        <v>59.133172999999999</v>
      </c>
      <c r="I174" s="10">
        <v>1520.859790640962</v>
      </c>
      <c r="J174" s="9">
        <v>0.18489249768326088</v>
      </c>
      <c r="K174" s="12">
        <v>0.64686684931506844</v>
      </c>
      <c r="L174" s="9">
        <v>9.4969999999999999E-2</v>
      </c>
      <c r="M174" s="12">
        <v>0.64686684931506844</v>
      </c>
      <c r="N174" s="10">
        <f t="shared" si="2"/>
        <v>25.719231921496281</v>
      </c>
    </row>
    <row r="175" spans="1:14" x14ac:dyDescent="0.3">
      <c r="A175" t="s">
        <v>43</v>
      </c>
      <c r="B175" t="s">
        <v>44</v>
      </c>
      <c r="C175">
        <v>2022</v>
      </c>
      <c r="D175" s="9">
        <v>0.35644001007080078</v>
      </c>
      <c r="E175" s="9">
        <v>3.00639712456756E-2</v>
      </c>
      <c r="F175" s="10">
        <v>39060</v>
      </c>
      <c r="G175" s="9">
        <v>0.850607</v>
      </c>
      <c r="H175" s="11">
        <v>59.013666999999998</v>
      </c>
      <c r="I175" s="10">
        <v>1372.122643505091</v>
      </c>
      <c r="J175" s="9">
        <v>-9.9366828526566531E-2</v>
      </c>
      <c r="K175" s="12">
        <v>0.27486191780821917</v>
      </c>
      <c r="L175" s="9">
        <v>8.0690000000000012E-2</v>
      </c>
      <c r="M175" s="12">
        <v>0.27486191780821917</v>
      </c>
      <c r="N175" s="10">
        <f t="shared" si="2"/>
        <v>23.250930051594505</v>
      </c>
    </row>
    <row r="176" spans="1:14" x14ac:dyDescent="0.3">
      <c r="A176" t="s">
        <v>43</v>
      </c>
      <c r="B176" t="s">
        <v>44</v>
      </c>
      <c r="C176">
        <v>2023</v>
      </c>
      <c r="D176" s="9"/>
      <c r="E176" s="9">
        <v>3.0074065842432499E-2</v>
      </c>
      <c r="F176" s="10">
        <v>38770</v>
      </c>
      <c r="G176" s="9">
        <v>0.870278</v>
      </c>
      <c r="H176" s="11">
        <v>58.984216000000004</v>
      </c>
      <c r="I176" s="10">
        <v>1563.7106017522369</v>
      </c>
      <c r="J176" s="9">
        <v>0.13905075493467844</v>
      </c>
      <c r="K176" s="12"/>
      <c r="L176" s="9">
        <v>7.6270000000000004E-2</v>
      </c>
      <c r="M176" s="12">
        <v>0</v>
      </c>
      <c r="N176" s="10">
        <f t="shared" si="2"/>
        <v>26.510661797254993</v>
      </c>
    </row>
    <row r="177" spans="1:14" x14ac:dyDescent="0.3">
      <c r="A177" t="s">
        <v>43</v>
      </c>
      <c r="B177" t="s">
        <v>44</v>
      </c>
      <c r="C177">
        <v>2024</v>
      </c>
      <c r="D177" s="9"/>
      <c r="E177" s="9"/>
      <c r="F177" s="10">
        <v>38590</v>
      </c>
      <c r="G177" s="9">
        <v>0.89220699999999997</v>
      </c>
      <c r="H177" s="11">
        <v>58.952703999999997</v>
      </c>
      <c r="I177" s="10">
        <v>1630.1748104524031</v>
      </c>
      <c r="J177" s="9">
        <v>4.2471803971768862E-2</v>
      </c>
      <c r="K177" s="12"/>
      <c r="L177" s="9">
        <v>6.5000000000000002E-2</v>
      </c>
      <c r="M177" s="12">
        <v>0</v>
      </c>
      <c r="N177" s="10">
        <f t="shared" si="2"/>
        <v>27.652248325240571</v>
      </c>
    </row>
    <row r="178" spans="1:14" x14ac:dyDescent="0.3">
      <c r="A178" t="s">
        <v>45</v>
      </c>
      <c r="B178" t="s">
        <v>46</v>
      </c>
      <c r="C178">
        <v>2014</v>
      </c>
      <c r="D178" s="9">
        <v>0.31697999954223627</v>
      </c>
      <c r="E178" s="9">
        <v>2.94575797358217E-2</v>
      </c>
      <c r="F178" s="10">
        <v>44440</v>
      </c>
      <c r="G178" s="9">
        <v>0.89106800000000008</v>
      </c>
      <c r="H178" s="11">
        <v>127.276</v>
      </c>
      <c r="J178" s="9"/>
      <c r="K178" s="12"/>
      <c r="L178" s="9">
        <v>3.5889999999999998E-2</v>
      </c>
      <c r="M178" s="12">
        <v>0</v>
      </c>
      <c r="N178" s="10">
        <f t="shared" si="2"/>
        <v>0</v>
      </c>
    </row>
    <row r="179" spans="1:14" x14ac:dyDescent="0.3">
      <c r="A179" t="s">
        <v>45</v>
      </c>
      <c r="B179" t="s">
        <v>46</v>
      </c>
      <c r="C179">
        <v>2015</v>
      </c>
      <c r="D179" s="9">
        <v>0.31277999877929691</v>
      </c>
      <c r="E179" s="9">
        <v>3.0569847211780399E-2</v>
      </c>
      <c r="F179" s="10">
        <v>39380</v>
      </c>
      <c r="G179" s="9">
        <v>0.91058000000000006</v>
      </c>
      <c r="H179" s="11">
        <v>127.14100000000001</v>
      </c>
      <c r="I179" s="10">
        <v>3115.6572712995599</v>
      </c>
      <c r="J179" s="9"/>
      <c r="K179" s="12"/>
      <c r="L179" s="9">
        <v>3.3849999999999998E-2</v>
      </c>
      <c r="M179" s="12">
        <v>0</v>
      </c>
      <c r="N179" s="10">
        <f t="shared" si="2"/>
        <v>24.505527495454334</v>
      </c>
    </row>
    <row r="180" spans="1:14" x14ac:dyDescent="0.3">
      <c r="A180" t="s">
        <v>45</v>
      </c>
      <c r="B180" t="s">
        <v>46</v>
      </c>
      <c r="C180">
        <v>2016</v>
      </c>
      <c r="D180" s="9">
        <v>0.30802000045776373</v>
      </c>
      <c r="E180" s="9">
        <v>3.00622881786504E-2</v>
      </c>
      <c r="F180" s="10">
        <v>38460</v>
      </c>
      <c r="G180" s="9">
        <v>0.93182699999999996</v>
      </c>
      <c r="H180" s="11">
        <v>127.07599999999999</v>
      </c>
      <c r="I180" s="10">
        <v>3589.775312360307</v>
      </c>
      <c r="J180" s="9">
        <v>0.15241666737447623</v>
      </c>
      <c r="K180" s="12"/>
      <c r="L180" s="9">
        <v>3.1320000000000001E-2</v>
      </c>
      <c r="M180" s="12">
        <v>0</v>
      </c>
      <c r="N180" s="10">
        <f t="shared" si="2"/>
        <v>28.249042402659096</v>
      </c>
    </row>
    <row r="181" spans="1:14" x14ac:dyDescent="0.3">
      <c r="A181" t="s">
        <v>45</v>
      </c>
      <c r="B181" t="s">
        <v>46</v>
      </c>
      <c r="C181">
        <v>2017</v>
      </c>
      <c r="D181" s="9">
        <v>0.31885000228881838</v>
      </c>
      <c r="E181" s="9">
        <v>3.0594361851097901E-2</v>
      </c>
      <c r="F181" s="10">
        <v>38930</v>
      </c>
      <c r="G181" s="9">
        <v>0.917265</v>
      </c>
      <c r="H181" s="11">
        <v>126.97199999999999</v>
      </c>
      <c r="I181" s="10">
        <v>4765.0803484978396</v>
      </c>
      <c r="J181" s="9">
        <v>0.32789770836569021</v>
      </c>
      <c r="K181" s="12"/>
      <c r="L181" s="9">
        <v>2.8220000000000002E-2</v>
      </c>
      <c r="M181" s="12">
        <v>0</v>
      </c>
      <c r="N181" s="10">
        <f t="shared" si="2"/>
        <v>37.528591724930223</v>
      </c>
    </row>
    <row r="182" spans="1:14" x14ac:dyDescent="0.3">
      <c r="A182" t="s">
        <v>45</v>
      </c>
      <c r="B182" t="s">
        <v>46</v>
      </c>
      <c r="C182">
        <v>2018</v>
      </c>
      <c r="D182" s="9">
        <v>0.31867000579833982</v>
      </c>
      <c r="E182" s="9">
        <v>3.0881069075432099E-2</v>
      </c>
      <c r="F182" s="10">
        <v>41800</v>
      </c>
      <c r="G182" s="9">
        <v>0.88746399999999992</v>
      </c>
      <c r="H182" s="11">
        <v>126.81100000000001</v>
      </c>
      <c r="I182" s="10">
        <v>4802.0849536700471</v>
      </c>
      <c r="J182" s="9">
        <v>8.9970769721681165E-3</v>
      </c>
      <c r="K182" s="12"/>
      <c r="L182" s="9">
        <v>2.4670000000000001E-2</v>
      </c>
      <c r="M182" s="12">
        <v>0</v>
      </c>
      <c r="N182" s="10">
        <f t="shared" si="2"/>
        <v>37.868047359219993</v>
      </c>
    </row>
    <row r="183" spans="1:14" x14ac:dyDescent="0.3">
      <c r="A183" t="s">
        <v>45</v>
      </c>
      <c r="B183" t="s">
        <v>46</v>
      </c>
      <c r="C183">
        <v>2019</v>
      </c>
      <c r="D183" s="9">
        <v>0.32936000823974609</v>
      </c>
      <c r="E183" s="9">
        <v>3.1884672678078999E-2</v>
      </c>
      <c r="F183" s="10">
        <v>41970</v>
      </c>
      <c r="G183" s="9">
        <v>0.92730400000000002</v>
      </c>
      <c r="H183" s="11">
        <v>126.633</v>
      </c>
      <c r="I183" s="10">
        <v>5164.9187178888151</v>
      </c>
      <c r="J183" s="9">
        <v>7.5947076095637112E-2</v>
      </c>
      <c r="K183" s="12"/>
      <c r="L183" s="9">
        <v>2.351E-2</v>
      </c>
      <c r="M183" s="12">
        <v>0</v>
      </c>
      <c r="N183" s="10">
        <f t="shared" si="2"/>
        <v>40.786514714875388</v>
      </c>
    </row>
    <row r="184" spans="1:14" x14ac:dyDescent="0.3">
      <c r="A184" t="s">
        <v>45</v>
      </c>
      <c r="B184" t="s">
        <v>46</v>
      </c>
      <c r="C184">
        <v>2020</v>
      </c>
      <c r="D184" s="9">
        <v>0.33040000915527334</v>
      </c>
      <c r="E184" s="9">
        <v>3.3355480261177801E-2</v>
      </c>
      <c r="F184" s="10">
        <v>40930</v>
      </c>
      <c r="G184" s="9">
        <v>0.90219499999999997</v>
      </c>
      <c r="H184" s="11">
        <v>126.261</v>
      </c>
      <c r="I184" s="10">
        <v>6000.5771291670599</v>
      </c>
      <c r="J184" s="9">
        <v>0.16483486877523945</v>
      </c>
      <c r="K184" s="12">
        <v>0.32567759562841531</v>
      </c>
      <c r="L184" s="9">
        <v>2.809E-2</v>
      </c>
      <c r="M184" s="12">
        <v>0.32567759562841531</v>
      </c>
      <c r="N184" s="10">
        <f t="shared" si="2"/>
        <v>47.52518298735999</v>
      </c>
    </row>
    <row r="185" spans="1:14" x14ac:dyDescent="0.3">
      <c r="A185" t="s">
        <v>45</v>
      </c>
      <c r="B185" t="s">
        <v>46</v>
      </c>
      <c r="C185">
        <v>2021</v>
      </c>
      <c r="D185" s="9">
        <v>0.32368999481201172</v>
      </c>
      <c r="E185" s="9">
        <v>3.6207768579547099E-2</v>
      </c>
      <c r="F185" s="10">
        <v>43710</v>
      </c>
      <c r="G185" s="9">
        <v>0.82914100000000002</v>
      </c>
      <c r="H185" s="11">
        <v>125.68159300000001</v>
      </c>
      <c r="I185" s="10">
        <v>6006.5416804687866</v>
      </c>
      <c r="J185" s="9">
        <v>-1.2356254499352737E-3</v>
      </c>
      <c r="K185" s="12">
        <v>0.48847835616438351</v>
      </c>
      <c r="L185" s="9">
        <v>2.8079999999999997E-2</v>
      </c>
      <c r="M185" s="12">
        <v>0.48847835616438351</v>
      </c>
      <c r="N185" s="10">
        <f t="shared" si="2"/>
        <v>47.79173733474866</v>
      </c>
    </row>
    <row r="186" spans="1:14" x14ac:dyDescent="0.3">
      <c r="A186" t="s">
        <v>45</v>
      </c>
      <c r="B186" t="s">
        <v>46</v>
      </c>
      <c r="C186">
        <v>2022</v>
      </c>
      <c r="D186" s="9">
        <v>0.32368999481201172</v>
      </c>
      <c r="E186" s="9">
        <v>3.5227342449508897E-2</v>
      </c>
      <c r="F186" s="10">
        <v>42640</v>
      </c>
      <c r="G186" s="9">
        <v>0.84923400000000004</v>
      </c>
      <c r="H186" s="11">
        <v>125.124989</v>
      </c>
      <c r="I186" s="10">
        <v>4963.9712629035093</v>
      </c>
      <c r="J186" s="9">
        <v>-0.17500949784781283</v>
      </c>
      <c r="K186" s="12">
        <v>0.39680301369863008</v>
      </c>
      <c r="L186" s="9">
        <v>2.614E-2</v>
      </c>
      <c r="M186" s="12">
        <v>0.39680301369863008</v>
      </c>
      <c r="N186" s="10">
        <f t="shared" si="2"/>
        <v>39.672101492880124</v>
      </c>
    </row>
    <row r="187" spans="1:14" x14ac:dyDescent="0.3">
      <c r="A187" t="s">
        <v>45</v>
      </c>
      <c r="B187" t="s">
        <v>46</v>
      </c>
      <c r="C187">
        <v>2023</v>
      </c>
      <c r="D187" s="9"/>
      <c r="E187" s="9">
        <v>3.49448348945086E-2</v>
      </c>
      <c r="F187" s="10">
        <v>39360</v>
      </c>
      <c r="G187" s="9">
        <v>0.869815</v>
      </c>
      <c r="H187" s="11">
        <v>124.51665</v>
      </c>
      <c r="I187" s="10">
        <v>4471.2545663628671</v>
      </c>
      <c r="J187" s="9">
        <v>-9.9715516718135055E-2</v>
      </c>
      <c r="K187" s="12"/>
      <c r="L187" s="9">
        <v>2.6000000000000002E-2</v>
      </c>
      <c r="M187" s="12">
        <v>0</v>
      </c>
      <c r="N187" s="10">
        <f t="shared" si="2"/>
        <v>35.908889022976986</v>
      </c>
    </row>
    <row r="188" spans="1:14" x14ac:dyDescent="0.3">
      <c r="A188" t="s">
        <v>45</v>
      </c>
      <c r="B188" t="s">
        <v>46</v>
      </c>
      <c r="C188">
        <v>2024</v>
      </c>
      <c r="D188" s="9"/>
      <c r="E188" s="9"/>
      <c r="F188" s="10">
        <v>36000</v>
      </c>
      <c r="G188" s="9"/>
      <c r="H188" s="11">
        <v>123.975371</v>
      </c>
      <c r="I188" s="10">
        <v>4240.2085290418117</v>
      </c>
      <c r="J188" s="9">
        <v>-5.1703083457409149E-2</v>
      </c>
      <c r="K188" s="12"/>
      <c r="L188" s="9">
        <v>2.5000000000000001E-2</v>
      </c>
      <c r="M188" s="12">
        <v>0</v>
      </c>
      <c r="N188" s="10">
        <f t="shared" si="2"/>
        <v>34.202023311886776</v>
      </c>
    </row>
    <row r="189" spans="1:14" x14ac:dyDescent="0.3">
      <c r="A189" t="s">
        <v>47</v>
      </c>
      <c r="B189" t="s">
        <v>48</v>
      </c>
      <c r="C189">
        <v>2014</v>
      </c>
      <c r="D189" s="9">
        <v>0.41228000640869139</v>
      </c>
      <c r="E189" s="9">
        <v>3.3501170353169803E-2</v>
      </c>
      <c r="F189" s="10">
        <v>10840</v>
      </c>
      <c r="G189" s="9">
        <v>0.63665399999999994</v>
      </c>
      <c r="H189" s="11">
        <v>30.696137</v>
      </c>
      <c r="J189" s="9"/>
      <c r="K189" s="12"/>
      <c r="L189" s="9">
        <v>2.8799999999999999E-2</v>
      </c>
      <c r="M189" s="12">
        <v>0</v>
      </c>
      <c r="N189" s="10">
        <f t="shared" si="2"/>
        <v>0</v>
      </c>
    </row>
    <row r="190" spans="1:14" x14ac:dyDescent="0.3">
      <c r="A190" t="s">
        <v>47</v>
      </c>
      <c r="B190" t="s">
        <v>48</v>
      </c>
      <c r="C190">
        <v>2015</v>
      </c>
      <c r="D190" s="9">
        <v>0.41132999420166022</v>
      </c>
      <c r="E190" s="9">
        <v>3.4897844219428001E-2</v>
      </c>
      <c r="F190" s="10">
        <v>10350</v>
      </c>
      <c r="G190" s="9">
        <v>0.71064099999999997</v>
      </c>
      <c r="H190" s="11">
        <v>31.232797999999999</v>
      </c>
      <c r="I190" s="10">
        <v>123.2130050921981</v>
      </c>
      <c r="J190" s="9"/>
      <c r="K190" s="12"/>
      <c r="L190" s="9">
        <v>3.1E-2</v>
      </c>
      <c r="M190" s="12">
        <v>0</v>
      </c>
      <c r="N190" s="10">
        <f t="shared" si="2"/>
        <v>3.9449877366798232</v>
      </c>
    </row>
    <row r="191" spans="1:14" x14ac:dyDescent="0.3">
      <c r="A191" t="s">
        <v>47</v>
      </c>
      <c r="B191" t="s">
        <v>48</v>
      </c>
      <c r="C191">
        <v>2016</v>
      </c>
      <c r="D191" s="9">
        <v>0.4103900146484375</v>
      </c>
      <c r="E191" s="9">
        <v>3.5468620419198398E-2</v>
      </c>
      <c r="F191" s="10">
        <v>9800</v>
      </c>
      <c r="G191" s="9">
        <v>0.78788300000000011</v>
      </c>
      <c r="H191" s="11">
        <v>31.789684999999999</v>
      </c>
      <c r="I191" s="10">
        <v>119.73305838269989</v>
      </c>
      <c r="J191" s="9">
        <v>-2.803759094877778E-2</v>
      </c>
      <c r="K191" s="12"/>
      <c r="L191" s="9">
        <v>3.44E-2</v>
      </c>
      <c r="M191" s="12">
        <v>0</v>
      </c>
      <c r="N191" s="10">
        <f t="shared" si="2"/>
        <v>3.7664122303413796</v>
      </c>
    </row>
    <row r="192" spans="1:14" x14ac:dyDescent="0.3">
      <c r="A192" t="s">
        <v>47</v>
      </c>
      <c r="B192" t="s">
        <v>48</v>
      </c>
      <c r="C192">
        <v>2017</v>
      </c>
      <c r="D192" s="9">
        <v>0.40944000244140616</v>
      </c>
      <c r="E192" s="9">
        <v>3.5397752715356903E-2</v>
      </c>
      <c r="F192" s="10">
        <v>9560</v>
      </c>
      <c r="G192" s="9">
        <v>0.80140500000000003</v>
      </c>
      <c r="H192" s="11">
        <v>32.355643999999998</v>
      </c>
      <c r="I192" s="10">
        <v>131.48790408565159</v>
      </c>
      <c r="J192" s="9">
        <v>9.8584296112721681E-2</v>
      </c>
      <c r="K192" s="12"/>
      <c r="L192" s="9">
        <v>3.4099999999999998E-2</v>
      </c>
      <c r="M192" s="12">
        <v>0</v>
      </c>
      <c r="N192" s="10">
        <f t="shared" si="2"/>
        <v>4.0638320809084068</v>
      </c>
    </row>
    <row r="193" spans="1:14" x14ac:dyDescent="0.3">
      <c r="A193" t="s">
        <v>47</v>
      </c>
      <c r="B193" t="s">
        <v>48</v>
      </c>
      <c r="C193">
        <v>2018</v>
      </c>
      <c r="D193" s="9">
        <v>0.41005001068115227</v>
      </c>
      <c r="E193" s="9">
        <v>3.6126359978356198E-2</v>
      </c>
      <c r="F193" s="10">
        <v>10200</v>
      </c>
      <c r="G193" s="9">
        <v>0.8120099999999999</v>
      </c>
      <c r="H193" s="11">
        <v>32.910966999999999</v>
      </c>
      <c r="I193" s="10">
        <v>196.80123754832721</v>
      </c>
      <c r="J193" s="9">
        <v>0.49855373204743425</v>
      </c>
      <c r="K193" s="12"/>
      <c r="L193" s="9">
        <v>3.3000000000000002E-2</v>
      </c>
      <c r="M193" s="12">
        <v>0</v>
      </c>
      <c r="N193" s="10">
        <f t="shared" si="2"/>
        <v>5.9798072037302097</v>
      </c>
    </row>
    <row r="194" spans="1:14" x14ac:dyDescent="0.3">
      <c r="A194" t="s">
        <v>47</v>
      </c>
      <c r="B194" t="s">
        <v>48</v>
      </c>
      <c r="C194">
        <v>2019</v>
      </c>
      <c r="D194" s="9">
        <v>0.41066001892089837</v>
      </c>
      <c r="E194" s="9">
        <v>3.6170777166226901E-2</v>
      </c>
      <c r="F194" s="10">
        <v>10750</v>
      </c>
      <c r="G194" s="9">
        <v>0.84187100000000004</v>
      </c>
      <c r="H194" s="11">
        <v>33.440595999999999</v>
      </c>
      <c r="I194" s="10">
        <v>219.0137616584035</v>
      </c>
      <c r="J194" s="9">
        <v>0.11327084762673567</v>
      </c>
      <c r="K194" s="12"/>
      <c r="L194" s="9">
        <v>3.3300000000000003E-2</v>
      </c>
      <c r="M194" s="12">
        <v>0</v>
      </c>
      <c r="N194" s="10">
        <f t="shared" si="2"/>
        <v>6.5493378664185142</v>
      </c>
    </row>
    <row r="195" spans="1:14" x14ac:dyDescent="0.3">
      <c r="A195" t="s">
        <v>47</v>
      </c>
      <c r="B195" t="s">
        <v>48</v>
      </c>
      <c r="C195">
        <v>2020</v>
      </c>
      <c r="D195" s="9">
        <v>0.40888999938964837</v>
      </c>
      <c r="E195" s="9">
        <v>3.93594163086851E-2</v>
      </c>
      <c r="F195" s="10">
        <v>10110</v>
      </c>
      <c r="G195" s="9">
        <v>0.89555000000000007</v>
      </c>
      <c r="H195" s="11">
        <v>33.889558000000001</v>
      </c>
      <c r="I195" s="10">
        <v>237.73623920980549</v>
      </c>
      <c r="J195" s="9">
        <v>8.8325525619768808E-2</v>
      </c>
      <c r="K195" s="12">
        <v>0.55872868852459023</v>
      </c>
      <c r="L195" s="9">
        <v>4.5400000000000003E-2</v>
      </c>
      <c r="M195" s="12">
        <v>0.55872868852459023</v>
      </c>
      <c r="N195" s="10">
        <f t="shared" si="2"/>
        <v>7.0150292078110157</v>
      </c>
    </row>
    <row r="196" spans="1:14" x14ac:dyDescent="0.3">
      <c r="A196" t="s">
        <v>47</v>
      </c>
      <c r="B196" t="s">
        <v>48</v>
      </c>
      <c r="C196">
        <v>2021</v>
      </c>
      <c r="D196" s="9">
        <v>0.40710998535156251</v>
      </c>
      <c r="E196" s="9">
        <v>4.5518219721935503E-2</v>
      </c>
      <c r="F196" s="10">
        <v>10520</v>
      </c>
      <c r="G196" s="9">
        <v>0.96751399999999999</v>
      </c>
      <c r="H196" s="11">
        <v>34.282398999999998</v>
      </c>
      <c r="I196" s="10">
        <v>281.02032480839341</v>
      </c>
      <c r="J196" s="9">
        <v>0.17943473367139684</v>
      </c>
      <c r="K196" s="12">
        <v>0.70620739726027393</v>
      </c>
      <c r="L196" s="9">
        <v>4.6399999999999997E-2</v>
      </c>
      <c r="M196" s="12">
        <v>0.70620739726027393</v>
      </c>
      <c r="N196" s="10">
        <f t="shared" si="2"/>
        <v>8.1972187771454799</v>
      </c>
    </row>
    <row r="197" spans="1:14" x14ac:dyDescent="0.3">
      <c r="A197" t="s">
        <v>47</v>
      </c>
      <c r="B197" t="s">
        <v>48</v>
      </c>
      <c r="C197">
        <v>2022</v>
      </c>
      <c r="D197" s="9">
        <v>0.4053400039672852</v>
      </c>
      <c r="E197" s="9">
        <v>4.2341741350695301E-2</v>
      </c>
      <c r="F197" s="10">
        <v>11620</v>
      </c>
      <c r="G197" s="9">
        <v>0.97398600000000002</v>
      </c>
      <c r="H197" s="11">
        <v>34.695492999999999</v>
      </c>
      <c r="I197" s="10">
        <v>286.97451546269002</v>
      </c>
      <c r="J197" s="9">
        <v>1.9412101879072496E-2</v>
      </c>
      <c r="K197" s="12">
        <v>0.2107690410958904</v>
      </c>
      <c r="L197" s="9">
        <v>3.9300000000000002E-2</v>
      </c>
      <c r="M197" s="12">
        <v>0.2107690410958904</v>
      </c>
      <c r="N197" s="10">
        <f t="shared" si="2"/>
        <v>8.2712332539183127</v>
      </c>
    </row>
    <row r="198" spans="1:14" x14ac:dyDescent="0.3">
      <c r="A198" t="s">
        <v>47</v>
      </c>
      <c r="B198" t="s">
        <v>48</v>
      </c>
      <c r="C198">
        <v>2023</v>
      </c>
      <c r="D198" s="9"/>
      <c r="E198" s="9">
        <v>4.1432744593005402E-2</v>
      </c>
      <c r="F198" s="10">
        <v>11700</v>
      </c>
      <c r="G198" s="9">
        <v>0.97692699999999999</v>
      </c>
      <c r="H198" s="11">
        <v>35.126297999999998</v>
      </c>
      <c r="I198" s="10">
        <v>314.18281741289189</v>
      </c>
      <c r="J198" s="9">
        <v>9.4255468230239003E-2</v>
      </c>
      <c r="K198" s="12"/>
      <c r="L198" s="9">
        <v>3.8580000000000003E-2</v>
      </c>
      <c r="M198" s="12">
        <v>0</v>
      </c>
      <c r="N198" s="10">
        <f t="shared" si="2"/>
        <v>8.9443760174468689</v>
      </c>
    </row>
    <row r="199" spans="1:14" x14ac:dyDescent="0.3">
      <c r="A199" t="s">
        <v>47</v>
      </c>
      <c r="B199" t="s">
        <v>48</v>
      </c>
      <c r="C199">
        <v>2024</v>
      </c>
      <c r="D199" s="9"/>
      <c r="E199" s="9"/>
      <c r="F199" s="10">
        <v>11650</v>
      </c>
      <c r="G199" s="9">
        <v>0.98020600000000002</v>
      </c>
      <c r="H199" s="11">
        <v>35.557673000000001</v>
      </c>
      <c r="I199" s="10">
        <v>301.78553337928031</v>
      </c>
      <c r="J199" s="9">
        <v>-3.9488636505087715E-2</v>
      </c>
      <c r="K199" s="12"/>
      <c r="L199" s="9">
        <v>3.8460000000000001E-2</v>
      </c>
      <c r="M199" s="12">
        <v>0</v>
      </c>
      <c r="N199" s="10">
        <f t="shared" ref="N199:N262" si="3">I199/H199</f>
        <v>8.487212686254253</v>
      </c>
    </row>
    <row r="200" spans="1:14" x14ac:dyDescent="0.3">
      <c r="A200" t="s">
        <v>49</v>
      </c>
      <c r="B200" t="s">
        <v>50</v>
      </c>
      <c r="C200">
        <v>2014</v>
      </c>
      <c r="D200" s="9">
        <v>0.50303001403808589</v>
      </c>
      <c r="E200" s="9">
        <v>2.7589277930759701E-2</v>
      </c>
      <c r="F200" s="10">
        <v>10950</v>
      </c>
      <c r="G200" s="9">
        <v>0.443857</v>
      </c>
      <c r="H200" s="11">
        <v>119.784261</v>
      </c>
      <c r="J200" s="9"/>
      <c r="K200" s="12"/>
      <c r="L200" s="9">
        <v>4.8189999999999997E-2</v>
      </c>
      <c r="M200" s="12">
        <v>0</v>
      </c>
      <c r="N200" s="10">
        <f t="shared" si="3"/>
        <v>0</v>
      </c>
    </row>
    <row r="201" spans="1:14" x14ac:dyDescent="0.3">
      <c r="A201" t="s">
        <v>49</v>
      </c>
      <c r="B201" t="s">
        <v>50</v>
      </c>
      <c r="C201">
        <v>2015</v>
      </c>
      <c r="D201" s="9">
        <v>0.49714000701904298</v>
      </c>
      <c r="E201" s="9">
        <v>2.77568910904268E-2</v>
      </c>
      <c r="F201" s="10">
        <v>10580</v>
      </c>
      <c r="G201" s="9">
        <v>0.57430999999999999</v>
      </c>
      <c r="H201" s="11">
        <v>121.072306</v>
      </c>
      <c r="I201" s="10">
        <v>472.48538608688051</v>
      </c>
      <c r="J201" s="9"/>
      <c r="K201" s="12"/>
      <c r="L201" s="9">
        <v>4.3110000000000002E-2</v>
      </c>
      <c r="M201" s="12">
        <v>0</v>
      </c>
      <c r="N201" s="10">
        <f t="shared" si="3"/>
        <v>3.9025058801381096</v>
      </c>
    </row>
    <row r="202" spans="1:14" x14ac:dyDescent="0.3">
      <c r="A202" t="s">
        <v>49</v>
      </c>
      <c r="B202" t="s">
        <v>50</v>
      </c>
      <c r="C202">
        <v>2016</v>
      </c>
      <c r="D202" s="9">
        <v>0.49124000549316416</v>
      </c>
      <c r="E202" s="9">
        <v>2.79177764102603E-2</v>
      </c>
      <c r="F202" s="10">
        <v>9740</v>
      </c>
      <c r="G202" s="9">
        <v>0.59540399999999993</v>
      </c>
      <c r="H202" s="11">
        <v>122.251351</v>
      </c>
      <c r="I202" s="10">
        <v>500.98631489770202</v>
      </c>
      <c r="J202" s="9">
        <v>6.0545791718180419E-2</v>
      </c>
      <c r="K202" s="12"/>
      <c r="L202" s="9">
        <v>3.8530000000000002E-2</v>
      </c>
      <c r="M202" s="12">
        <v>0</v>
      </c>
      <c r="N202" s="10">
        <f t="shared" si="3"/>
        <v>4.0980022780909966</v>
      </c>
    </row>
    <row r="203" spans="1:14" x14ac:dyDescent="0.3">
      <c r="A203" t="s">
        <v>49</v>
      </c>
      <c r="B203" t="s">
        <v>50</v>
      </c>
      <c r="C203">
        <v>2017</v>
      </c>
      <c r="D203" s="9">
        <v>0.4778099822998047</v>
      </c>
      <c r="E203" s="9">
        <v>2.80780277134898E-2</v>
      </c>
      <c r="F203" s="10">
        <v>9270</v>
      </c>
      <c r="G203" s="9">
        <v>0.53031799999999996</v>
      </c>
      <c r="H203" s="11">
        <v>123.400057</v>
      </c>
      <c r="I203" s="10">
        <v>514.94856895085456</v>
      </c>
      <c r="J203" s="9">
        <v>2.8252212608036009E-2</v>
      </c>
      <c r="K203" s="12"/>
      <c r="L203" s="9">
        <v>3.4189999999999998E-2</v>
      </c>
      <c r="M203" s="12">
        <v>0</v>
      </c>
      <c r="N203" s="10">
        <f t="shared" si="3"/>
        <v>4.173001062315997</v>
      </c>
    </row>
    <row r="204" spans="1:14" x14ac:dyDescent="0.3">
      <c r="A204" t="s">
        <v>49</v>
      </c>
      <c r="B204" t="s">
        <v>50</v>
      </c>
      <c r="C204">
        <v>2018</v>
      </c>
      <c r="D204" s="9">
        <v>0.46438999176025392</v>
      </c>
      <c r="E204" s="9">
        <v>2.8243968546538201E-2</v>
      </c>
      <c r="F204" s="10">
        <v>9560</v>
      </c>
      <c r="G204" s="9">
        <v>0.56659599999999999</v>
      </c>
      <c r="H204" s="11">
        <v>124.573711</v>
      </c>
      <c r="I204" s="10">
        <v>631.24388915117936</v>
      </c>
      <c r="J204" s="9">
        <v>0.22733643963582173</v>
      </c>
      <c r="K204" s="12"/>
      <c r="L204" s="9">
        <v>3.2750000000000001E-2</v>
      </c>
      <c r="M204" s="12">
        <v>0</v>
      </c>
      <c r="N204" s="10">
        <f t="shared" si="3"/>
        <v>5.0672319551528764</v>
      </c>
    </row>
    <row r="205" spans="1:14" x14ac:dyDescent="0.3">
      <c r="A205" t="s">
        <v>49</v>
      </c>
      <c r="B205" t="s">
        <v>50</v>
      </c>
      <c r="C205">
        <v>2019</v>
      </c>
      <c r="D205" s="9">
        <v>0.45986999511718751</v>
      </c>
      <c r="E205" s="9">
        <v>2.8417097111034299E-2</v>
      </c>
      <c r="F205" s="10">
        <v>9860</v>
      </c>
      <c r="G205" s="9">
        <v>0.69632099999999997</v>
      </c>
      <c r="H205" s="11">
        <v>125.76298199999999</v>
      </c>
      <c r="I205" s="10">
        <v>743.16661154509018</v>
      </c>
      <c r="J205" s="9">
        <v>0.1777314164151782</v>
      </c>
      <c r="K205" s="12"/>
      <c r="L205" s="9">
        <v>3.4769999999999995E-2</v>
      </c>
      <c r="M205" s="12">
        <v>0</v>
      </c>
      <c r="N205" s="10">
        <f t="shared" si="3"/>
        <v>5.9092635982907131</v>
      </c>
    </row>
    <row r="206" spans="1:14" x14ac:dyDescent="0.3">
      <c r="A206" t="s">
        <v>49</v>
      </c>
      <c r="B206" t="s">
        <v>50</v>
      </c>
      <c r="C206">
        <v>2020</v>
      </c>
      <c r="D206" s="9">
        <v>0.45535999298095703</v>
      </c>
      <c r="E206" s="9">
        <v>3.51698854280309E-2</v>
      </c>
      <c r="F206" s="10">
        <v>8920</v>
      </c>
      <c r="G206" s="9">
        <v>0.71490200000000004</v>
      </c>
      <c r="H206" s="11">
        <v>126.799054</v>
      </c>
      <c r="I206" s="10">
        <v>753.85309467141781</v>
      </c>
      <c r="J206" s="9">
        <v>1.7033746715750864E-2</v>
      </c>
      <c r="K206" s="12">
        <v>0.57392650273224044</v>
      </c>
      <c r="L206" s="9">
        <v>4.4400000000000002E-2</v>
      </c>
      <c r="M206" s="12">
        <v>0.57392650273224044</v>
      </c>
      <c r="N206" s="10">
        <f t="shared" si="3"/>
        <v>5.9452580353747582</v>
      </c>
    </row>
    <row r="207" spans="1:14" x14ac:dyDescent="0.3">
      <c r="A207" t="s">
        <v>49</v>
      </c>
      <c r="B207" t="s">
        <v>50</v>
      </c>
      <c r="C207">
        <v>2021</v>
      </c>
      <c r="D207" s="9">
        <v>0.44727001190185545</v>
      </c>
      <c r="E207" s="9">
        <v>3.5527374190033899E-2</v>
      </c>
      <c r="F207" s="10">
        <v>9880</v>
      </c>
      <c r="G207" s="9">
        <v>0.75626499999999997</v>
      </c>
      <c r="H207" s="11">
        <v>127.64814800000001</v>
      </c>
      <c r="I207" s="10">
        <v>923.18708797707529</v>
      </c>
      <c r="J207" s="9">
        <v>0.22189691926837551</v>
      </c>
      <c r="K207" s="12">
        <v>0.49121369863013697</v>
      </c>
      <c r="L207" s="9">
        <v>4.0190000000000003E-2</v>
      </c>
      <c r="M207" s="12">
        <v>0.49121369863013697</v>
      </c>
      <c r="N207" s="10">
        <f t="shared" si="3"/>
        <v>7.2322795312085155</v>
      </c>
    </row>
    <row r="208" spans="1:14" x14ac:dyDescent="0.3">
      <c r="A208" t="s">
        <v>49</v>
      </c>
      <c r="B208" t="s">
        <v>50</v>
      </c>
      <c r="C208">
        <v>2022</v>
      </c>
      <c r="D208" s="9">
        <v>0.4391899871826172</v>
      </c>
      <c r="E208" s="9">
        <v>3.48245685834664E-2</v>
      </c>
      <c r="F208" s="10">
        <v>10730</v>
      </c>
      <c r="G208" s="9">
        <v>0.78632199999999997</v>
      </c>
      <c r="H208" s="11">
        <v>128.61311699999999</v>
      </c>
      <c r="I208" s="10">
        <v>967.76352841883897</v>
      </c>
      <c r="J208" s="9">
        <v>4.6462607246186893E-2</v>
      </c>
      <c r="K208" s="12">
        <v>0.25422876712328768</v>
      </c>
      <c r="L208" s="9">
        <v>3.2559999999999999E-2</v>
      </c>
      <c r="M208" s="12">
        <v>0.25422876712328768</v>
      </c>
      <c r="N208" s="10">
        <f t="shared" si="3"/>
        <v>7.5246098608965291</v>
      </c>
    </row>
    <row r="209" spans="1:14" x14ac:dyDescent="0.3">
      <c r="A209" t="s">
        <v>49</v>
      </c>
      <c r="B209" t="s">
        <v>50</v>
      </c>
      <c r="C209">
        <v>2023</v>
      </c>
      <c r="D209" s="9"/>
      <c r="E209" s="9">
        <v>3.5798585114841297E-2</v>
      </c>
      <c r="F209" s="10">
        <v>12020</v>
      </c>
      <c r="G209" s="9">
        <v>0.811832</v>
      </c>
      <c r="H209" s="11">
        <v>129.73975899999999</v>
      </c>
      <c r="I209" s="10">
        <v>1134.8091368431319</v>
      </c>
      <c r="J209" s="9">
        <v>0.17201508014081401</v>
      </c>
      <c r="K209" s="12"/>
      <c r="L209" s="9">
        <v>2.7650000000000001E-2</v>
      </c>
      <c r="M209" s="12">
        <v>0</v>
      </c>
      <c r="N209" s="10">
        <f t="shared" si="3"/>
        <v>8.7468108896605248</v>
      </c>
    </row>
    <row r="210" spans="1:14" x14ac:dyDescent="0.3">
      <c r="A210" t="s">
        <v>49</v>
      </c>
      <c r="B210" t="s">
        <v>50</v>
      </c>
      <c r="C210">
        <v>2024</v>
      </c>
      <c r="D210" s="9"/>
      <c r="E210" s="9"/>
      <c r="F210" s="10">
        <v>12850</v>
      </c>
      <c r="G210" s="9"/>
      <c r="H210" s="11">
        <v>130.861007</v>
      </c>
      <c r="I210" s="10">
        <v>1334.960379157015</v>
      </c>
      <c r="J210" s="9">
        <v>0.17633785307482208</v>
      </c>
      <c r="K210" s="12"/>
      <c r="L210" s="9">
        <v>2.6779999999999998E-2</v>
      </c>
      <c r="M210" s="12">
        <v>0</v>
      </c>
      <c r="N210" s="10">
        <f t="shared" si="3"/>
        <v>10.201361045288419</v>
      </c>
    </row>
    <row r="211" spans="1:14" x14ac:dyDescent="0.3">
      <c r="A211" t="s">
        <v>51</v>
      </c>
      <c r="B211" t="s">
        <v>52</v>
      </c>
      <c r="C211">
        <v>2014</v>
      </c>
      <c r="D211" s="9">
        <v>0.28652000427246088</v>
      </c>
      <c r="E211" s="9">
        <v>5.6478815105760603E-2</v>
      </c>
      <c r="F211" s="10">
        <v>52220</v>
      </c>
      <c r="G211" s="9">
        <v>0.91666700000000001</v>
      </c>
      <c r="H211" s="11">
        <v>16.865008</v>
      </c>
      <c r="J211" s="9"/>
      <c r="K211" s="12"/>
      <c r="L211" s="9">
        <v>7.4189999999999992E-2</v>
      </c>
      <c r="M211" s="12">
        <v>0</v>
      </c>
      <c r="N211" s="10">
        <f t="shared" si="3"/>
        <v>0</v>
      </c>
    </row>
    <row r="212" spans="1:14" x14ac:dyDescent="0.3">
      <c r="A212" t="s">
        <v>51</v>
      </c>
      <c r="B212" t="s">
        <v>52</v>
      </c>
      <c r="C212">
        <v>2015</v>
      </c>
      <c r="D212" s="9">
        <v>0.28652999877929691</v>
      </c>
      <c r="E212" s="9">
        <v>5.4531132293071299E-2</v>
      </c>
      <c r="F212" s="10">
        <v>49670</v>
      </c>
      <c r="G212" s="9">
        <v>0.91724100000000008</v>
      </c>
      <c r="H212" s="11">
        <v>16.939923</v>
      </c>
      <c r="I212" s="10">
        <v>338.55323088482902</v>
      </c>
      <c r="J212" s="9"/>
      <c r="K212" s="12"/>
      <c r="L212" s="9">
        <v>6.8720000000000003E-2</v>
      </c>
      <c r="M212" s="12">
        <v>0</v>
      </c>
      <c r="N212" s="10">
        <f t="shared" si="3"/>
        <v>19.98552359918218</v>
      </c>
    </row>
    <row r="213" spans="1:14" x14ac:dyDescent="0.3">
      <c r="A213" t="s">
        <v>51</v>
      </c>
      <c r="B213" t="s">
        <v>52</v>
      </c>
      <c r="C213">
        <v>2016</v>
      </c>
      <c r="D213" s="9">
        <v>0.28653999328613283</v>
      </c>
      <c r="E213" s="9">
        <v>5.9858716588138003E-2</v>
      </c>
      <c r="F213" s="10">
        <v>46960</v>
      </c>
      <c r="G213" s="9">
        <v>0.90410999999999997</v>
      </c>
      <c r="H213" s="11">
        <v>17.030314000000001</v>
      </c>
      <c r="I213" s="10">
        <v>335.99881821100848</v>
      </c>
      <c r="J213" s="9">
        <v>-7.3349535589329884E-3</v>
      </c>
      <c r="K213" s="12"/>
      <c r="L213" s="9">
        <v>6.0069999999999998E-2</v>
      </c>
      <c r="M213" s="12">
        <v>0</v>
      </c>
      <c r="N213" s="10">
        <f t="shared" si="3"/>
        <v>19.729455264947461</v>
      </c>
    </row>
    <row r="214" spans="1:14" x14ac:dyDescent="0.3">
      <c r="A214" t="s">
        <v>51</v>
      </c>
      <c r="B214" t="s">
        <v>52</v>
      </c>
      <c r="C214">
        <v>2017</v>
      </c>
      <c r="D214" s="9">
        <v>0.28559999465942382</v>
      </c>
      <c r="E214" s="9">
        <v>5.6717688327852997E-2</v>
      </c>
      <c r="F214" s="10">
        <v>46710</v>
      </c>
      <c r="G214" s="9">
        <v>0.93197299999999994</v>
      </c>
      <c r="H214" s="11">
        <v>17.131295999999999</v>
      </c>
      <c r="I214" s="10">
        <v>398.45559665407899</v>
      </c>
      <c r="J214" s="9">
        <v>0.18632543326062057</v>
      </c>
      <c r="K214" s="12"/>
      <c r="L214" s="9">
        <v>4.8369999999999996E-2</v>
      </c>
      <c r="M214" s="12">
        <v>0</v>
      </c>
      <c r="N214" s="10">
        <f t="shared" si="3"/>
        <v>23.258928959845129</v>
      </c>
    </row>
    <row r="215" spans="1:14" x14ac:dyDescent="0.3">
      <c r="A215" t="s">
        <v>51</v>
      </c>
      <c r="B215" t="s">
        <v>52</v>
      </c>
      <c r="C215">
        <v>2018</v>
      </c>
      <c r="D215" s="9">
        <v>0.28885999679565427</v>
      </c>
      <c r="E215" s="9">
        <v>5.9322145783651498E-2</v>
      </c>
      <c r="F215" s="10">
        <v>51290</v>
      </c>
      <c r="G215" s="9">
        <v>0.91891900000000004</v>
      </c>
      <c r="H215" s="11">
        <v>17.231624</v>
      </c>
      <c r="I215" s="10">
        <v>476.51517091174071</v>
      </c>
      <c r="J215" s="9">
        <v>0.19736648540709423</v>
      </c>
      <c r="K215" s="12"/>
      <c r="L215" s="9">
        <v>3.832E-2</v>
      </c>
      <c r="M215" s="12">
        <v>0</v>
      </c>
      <c r="N215" s="10">
        <f t="shared" si="3"/>
        <v>27.653526499402535</v>
      </c>
    </row>
    <row r="216" spans="1:14" x14ac:dyDescent="0.3">
      <c r="A216" t="s">
        <v>51</v>
      </c>
      <c r="B216" t="s">
        <v>52</v>
      </c>
      <c r="C216">
        <v>2019</v>
      </c>
      <c r="D216" s="9">
        <v>0.2842300033569336</v>
      </c>
      <c r="E216" s="9">
        <v>5.7450318853075201E-2</v>
      </c>
      <c r="F216" s="10">
        <v>52940</v>
      </c>
      <c r="G216" s="9">
        <v>0.93288599999999999</v>
      </c>
      <c r="H216" s="11">
        <v>17.344874000000001</v>
      </c>
      <c r="I216" s="10">
        <v>525.75748021456423</v>
      </c>
      <c r="J216" s="9">
        <v>0.10373797668347362</v>
      </c>
      <c r="K216" s="12"/>
      <c r="L216" s="9">
        <v>3.3790000000000001E-2</v>
      </c>
      <c r="M216" s="12">
        <v>0</v>
      </c>
      <c r="N216" s="10">
        <f t="shared" si="3"/>
        <v>30.311980370371337</v>
      </c>
    </row>
    <row r="217" spans="1:14" x14ac:dyDescent="0.3">
      <c r="A217" t="s">
        <v>51</v>
      </c>
      <c r="B217" t="s">
        <v>52</v>
      </c>
      <c r="C217">
        <v>2020</v>
      </c>
      <c r="D217" s="9">
        <v>0.2940999984741211</v>
      </c>
      <c r="E217" s="9">
        <v>6.9441187425184805E-2</v>
      </c>
      <c r="F217" s="10">
        <v>51490</v>
      </c>
      <c r="G217" s="9">
        <v>0.91333299999999995</v>
      </c>
      <c r="H217" s="11">
        <v>17.441500000000001</v>
      </c>
      <c r="I217" s="10">
        <v>609.6518223535063</v>
      </c>
      <c r="J217" s="9">
        <v>0.16260248645067055</v>
      </c>
      <c r="K217" s="12">
        <v>0.50129508196721317</v>
      </c>
      <c r="L217" s="9">
        <v>3.8199999999999998E-2</v>
      </c>
      <c r="M217" s="12">
        <v>0.50129508196721317</v>
      </c>
      <c r="N217" s="10">
        <f t="shared" si="3"/>
        <v>34.954093532867368</v>
      </c>
    </row>
    <row r="218" spans="1:14" x14ac:dyDescent="0.3">
      <c r="A218" t="s">
        <v>51</v>
      </c>
      <c r="B218" t="s">
        <v>52</v>
      </c>
      <c r="C218">
        <v>2021</v>
      </c>
      <c r="D218" s="9">
        <v>0.26301000595092772</v>
      </c>
      <c r="E218" s="9">
        <v>7.0112083645683304E-2</v>
      </c>
      <c r="F218" s="10">
        <v>59560</v>
      </c>
      <c r="G218" s="9">
        <v>0.92052999999999996</v>
      </c>
      <c r="H218" s="11">
        <v>17.533044</v>
      </c>
      <c r="I218" s="10">
        <v>729.73139523317195</v>
      </c>
      <c r="J218" s="9">
        <v>0.19429805540895906</v>
      </c>
      <c r="K218" s="12">
        <v>0.57809013698630141</v>
      </c>
      <c r="L218" s="9">
        <v>4.2089999999999995E-2</v>
      </c>
      <c r="M218" s="12">
        <v>0.57809013698630141</v>
      </c>
      <c r="N218" s="10">
        <f t="shared" si="3"/>
        <v>41.620348139956299</v>
      </c>
    </row>
    <row r="219" spans="1:14" x14ac:dyDescent="0.3">
      <c r="A219" t="s">
        <v>51</v>
      </c>
      <c r="B219" t="s">
        <v>52</v>
      </c>
      <c r="C219">
        <v>2022</v>
      </c>
      <c r="D219" s="9">
        <v>0.26108999252319337</v>
      </c>
      <c r="E219" s="9">
        <v>6.81125150621648E-2</v>
      </c>
      <c r="F219" s="10">
        <v>62110</v>
      </c>
      <c r="G219" s="9">
        <v>0.92519700000000005</v>
      </c>
      <c r="H219" s="11">
        <v>17.700982</v>
      </c>
      <c r="I219" s="10">
        <v>676.86282868134799</v>
      </c>
      <c r="J219" s="9">
        <v>-7.4062190386231075E-2</v>
      </c>
      <c r="K219" s="12">
        <v>0.20732438356164379</v>
      </c>
      <c r="L219" s="9">
        <v>3.526E-2</v>
      </c>
      <c r="M219" s="12">
        <v>0.20732438356164379</v>
      </c>
      <c r="N219" s="10">
        <f t="shared" si="3"/>
        <v>38.238716285986165</v>
      </c>
    </row>
    <row r="220" spans="1:14" x14ac:dyDescent="0.3">
      <c r="A220" t="s">
        <v>51</v>
      </c>
      <c r="B220" t="s">
        <v>52</v>
      </c>
      <c r="C220">
        <v>2023</v>
      </c>
      <c r="D220" s="9"/>
      <c r="E220" s="9">
        <v>7.2208791507178502E-2</v>
      </c>
      <c r="F220" s="10">
        <v>62550</v>
      </c>
      <c r="G220" s="9">
        <v>0.97006799999999993</v>
      </c>
      <c r="H220" s="11">
        <v>17.877116999999998</v>
      </c>
      <c r="I220" s="10">
        <v>729.76036964085915</v>
      </c>
      <c r="J220" s="9">
        <v>7.7604105347767405E-2</v>
      </c>
      <c r="K220" s="12"/>
      <c r="L220" s="9">
        <v>3.5349999999999999E-2</v>
      </c>
      <c r="M220" s="12">
        <v>0</v>
      </c>
      <c r="N220" s="10">
        <f t="shared" si="3"/>
        <v>40.820920377757737</v>
      </c>
    </row>
    <row r="221" spans="1:14" x14ac:dyDescent="0.3">
      <c r="A221" t="s">
        <v>51</v>
      </c>
      <c r="B221" t="s">
        <v>52</v>
      </c>
      <c r="C221">
        <v>2024</v>
      </c>
      <c r="D221" s="9"/>
      <c r="E221" s="9"/>
      <c r="F221" s="10">
        <v>62520</v>
      </c>
      <c r="G221" s="9"/>
      <c r="H221" s="11">
        <v>17.993485</v>
      </c>
      <c r="I221" s="10">
        <v>744.78057443943067</v>
      </c>
      <c r="J221" s="9">
        <v>2.0550701819594952E-2</v>
      </c>
      <c r="K221" s="12"/>
      <c r="L221" s="9">
        <v>3.7000000000000005E-2</v>
      </c>
      <c r="M221" s="12">
        <v>0</v>
      </c>
      <c r="N221" s="10">
        <f t="shared" si="3"/>
        <v>41.391680068615429</v>
      </c>
    </row>
    <row r="222" spans="1:14" x14ac:dyDescent="0.3">
      <c r="A222" t="s">
        <v>53</v>
      </c>
      <c r="B222" t="s">
        <v>54</v>
      </c>
      <c r="C222">
        <v>2014</v>
      </c>
      <c r="D222" s="9">
        <v>0.35953998565673828</v>
      </c>
      <c r="E222" s="9">
        <v>2.77884082137668E-2</v>
      </c>
      <c r="F222" s="10">
        <v>2870</v>
      </c>
      <c r="G222" s="9">
        <v>0.21</v>
      </c>
      <c r="H222" s="11">
        <v>185.89691500000001</v>
      </c>
      <c r="J222" s="9"/>
      <c r="K222" s="12"/>
      <c r="L222" s="9">
        <v>3.9E-2</v>
      </c>
      <c r="M222" s="12">
        <v>0</v>
      </c>
      <c r="N222" s="10">
        <f t="shared" si="3"/>
        <v>0</v>
      </c>
    </row>
    <row r="223" spans="1:14" x14ac:dyDescent="0.3">
      <c r="A223" t="s">
        <v>53</v>
      </c>
      <c r="B223" t="s">
        <v>54</v>
      </c>
      <c r="C223">
        <v>2015</v>
      </c>
      <c r="D223" s="9">
        <v>0.3588199996948242</v>
      </c>
      <c r="E223" s="9">
        <v>2.7856780967263399E-2</v>
      </c>
      <c r="F223" s="10">
        <v>2760</v>
      </c>
      <c r="G223" s="9">
        <v>0.22500000000000001</v>
      </c>
      <c r="H223" s="11">
        <v>190.67187799999999</v>
      </c>
      <c r="I223" s="10">
        <v>196.64948223386961</v>
      </c>
      <c r="J223" s="9"/>
      <c r="K223" s="12"/>
      <c r="L223" s="9">
        <v>4.1340000000000002E-2</v>
      </c>
      <c r="M223" s="12">
        <v>0</v>
      </c>
      <c r="N223" s="10">
        <f t="shared" si="3"/>
        <v>1.0313502142873403</v>
      </c>
    </row>
    <row r="224" spans="1:14" x14ac:dyDescent="0.3">
      <c r="A224" t="s">
        <v>53</v>
      </c>
      <c r="B224" t="s">
        <v>54</v>
      </c>
      <c r="C224">
        <v>2016</v>
      </c>
      <c r="D224" s="9">
        <v>0.35810001373291023</v>
      </c>
      <c r="E224" s="9">
        <v>2.7964118136008301E-2</v>
      </c>
      <c r="F224" s="10">
        <v>2370</v>
      </c>
      <c r="G224" s="9">
        <v>0.24100000000000002</v>
      </c>
      <c r="H224" s="11">
        <v>195.44370000000001</v>
      </c>
      <c r="I224" s="10">
        <v>197.84362472078931</v>
      </c>
      <c r="J224" s="9">
        <v>6.2854555273041957E-3</v>
      </c>
      <c r="K224" s="12"/>
      <c r="L224" s="9">
        <v>4.4989999999999995E-2</v>
      </c>
      <c r="M224" s="12">
        <v>0</v>
      </c>
      <c r="N224" s="10">
        <f t="shared" si="3"/>
        <v>1.0122793659800204</v>
      </c>
    </row>
    <row r="225" spans="1:14" x14ac:dyDescent="0.3">
      <c r="A225" t="s">
        <v>53</v>
      </c>
      <c r="B225" t="s">
        <v>54</v>
      </c>
      <c r="C225">
        <v>2017</v>
      </c>
      <c r="D225" s="9">
        <v>0.35737998962402334</v>
      </c>
      <c r="E225" s="9">
        <v>2.8393020626039201E-2</v>
      </c>
      <c r="F225" s="10">
        <v>2020</v>
      </c>
      <c r="G225" s="9">
        <v>0.25900000000000001</v>
      </c>
      <c r="H225" s="11">
        <v>200.25457900000001</v>
      </c>
      <c r="I225" s="10">
        <v>183.36339058517979</v>
      </c>
      <c r="J225" s="9">
        <v>-7.2845243730650489E-2</v>
      </c>
      <c r="K225" s="12"/>
      <c r="L225" s="9">
        <v>4.8300000000000003E-2</v>
      </c>
      <c r="M225" s="12">
        <v>0</v>
      </c>
      <c r="N225" s="10">
        <f t="shared" si="3"/>
        <v>0.91565142480552109</v>
      </c>
    </row>
    <row r="226" spans="1:14" x14ac:dyDescent="0.3">
      <c r="A226" t="s">
        <v>53</v>
      </c>
      <c r="B226" t="s">
        <v>54</v>
      </c>
      <c r="C226">
        <v>2018</v>
      </c>
      <c r="D226" s="9">
        <v>0.35666999816894529</v>
      </c>
      <c r="E226" s="9">
        <v>2.8228153390423099E-2</v>
      </c>
      <c r="F226" s="10">
        <v>1950</v>
      </c>
      <c r="G226" s="9">
        <v>0.27699999999999997</v>
      </c>
      <c r="H226" s="11">
        <v>204.93875499999999</v>
      </c>
      <c r="I226" s="10">
        <v>211.8372725049756</v>
      </c>
      <c r="J226" s="9">
        <v>0.15669815387096864</v>
      </c>
      <c r="K226" s="12"/>
      <c r="L226" s="9">
        <v>5.0689999999999999E-2</v>
      </c>
      <c r="M226" s="12">
        <v>0</v>
      </c>
      <c r="N226" s="10">
        <f t="shared" si="3"/>
        <v>1.0336613614393022</v>
      </c>
    </row>
    <row r="227" spans="1:14" x14ac:dyDescent="0.3">
      <c r="A227" t="s">
        <v>53</v>
      </c>
      <c r="B227" t="s">
        <v>54</v>
      </c>
      <c r="C227">
        <v>2019</v>
      </c>
      <c r="D227" s="9">
        <v>0.35595001220703115</v>
      </c>
      <c r="E227" s="9">
        <v>2.84573388221094E-2</v>
      </c>
      <c r="F227" s="10">
        <v>2260</v>
      </c>
      <c r="G227" s="9">
        <v>0.29699999999999999</v>
      </c>
      <c r="H227" s="11">
        <v>209.48564099999999</v>
      </c>
      <c r="I227" s="10">
        <v>249.04791487824639</v>
      </c>
      <c r="J227" s="9">
        <v>0.17608250946430615</v>
      </c>
      <c r="K227" s="12"/>
      <c r="L227" s="9">
        <v>5.2060000000000002E-2</v>
      </c>
      <c r="M227" s="12">
        <v>0</v>
      </c>
      <c r="N227" s="10">
        <f t="shared" si="3"/>
        <v>1.1888543467198613</v>
      </c>
    </row>
    <row r="228" spans="1:14" x14ac:dyDescent="0.3">
      <c r="A228" t="s">
        <v>53</v>
      </c>
      <c r="B228" t="s">
        <v>54</v>
      </c>
      <c r="C228">
        <v>2020</v>
      </c>
      <c r="D228" s="9">
        <v>0.35595001220703115</v>
      </c>
      <c r="E228" s="9">
        <v>3.3929231002792402E-2</v>
      </c>
      <c r="F228" s="10">
        <v>2460</v>
      </c>
      <c r="G228" s="9">
        <v>0.318888</v>
      </c>
      <c r="H228" s="11">
        <v>213.99618100000001</v>
      </c>
      <c r="I228" s="10">
        <v>277.15907873754759</v>
      </c>
      <c r="J228" s="9">
        <v>0.11578631500685033</v>
      </c>
      <c r="K228" s="12">
        <v>0.55104562841530047</v>
      </c>
      <c r="L228" s="9">
        <v>5.7140000000000003E-2</v>
      </c>
      <c r="M228" s="12">
        <v>0.55104562841530047</v>
      </c>
      <c r="N228" s="10">
        <f t="shared" si="3"/>
        <v>1.295158995092289</v>
      </c>
    </row>
    <row r="229" spans="1:14" x14ac:dyDescent="0.3">
      <c r="A229" t="s">
        <v>53</v>
      </c>
      <c r="B229" t="s">
        <v>54</v>
      </c>
      <c r="C229">
        <v>2021</v>
      </c>
      <c r="D229" s="9">
        <v>0.35595001220703115</v>
      </c>
      <c r="E229" s="9">
        <v>3.4451219339694701E-2</v>
      </c>
      <c r="F229" s="10">
        <v>2860</v>
      </c>
      <c r="G229" s="9">
        <v>0.35509799999999997</v>
      </c>
      <c r="H229" s="11">
        <v>218.52928600000001</v>
      </c>
      <c r="I229" s="10">
        <v>313.28634418599398</v>
      </c>
      <c r="J229" s="9">
        <v>0.12783073604613482</v>
      </c>
      <c r="K229" s="12">
        <v>0.46091945205479445</v>
      </c>
      <c r="L229" s="9">
        <v>5.4039999999999998E-2</v>
      </c>
      <c r="M229" s="12">
        <v>0.46091945205479445</v>
      </c>
      <c r="N229" s="10">
        <f t="shared" si="3"/>
        <v>1.4336126288629065</v>
      </c>
    </row>
    <row r="230" spans="1:14" x14ac:dyDescent="0.3">
      <c r="A230" t="s">
        <v>53</v>
      </c>
      <c r="B230" t="s">
        <v>54</v>
      </c>
      <c r="C230">
        <v>2022</v>
      </c>
      <c r="D230" s="9">
        <v>0.35595001220703115</v>
      </c>
      <c r="E230" s="9">
        <v>3.4582063699658203E-2</v>
      </c>
      <c r="F230" s="10">
        <v>2930</v>
      </c>
      <c r="G230" s="9">
        <v>0.376975</v>
      </c>
      <c r="H230" s="11">
        <v>223.15089599999999</v>
      </c>
      <c r="I230" s="10">
        <v>316.54256012708669</v>
      </c>
      <c r="J230" s="9">
        <v>8.6368498479083566E-3</v>
      </c>
      <c r="K230" s="12">
        <v>0.21107808219178079</v>
      </c>
      <c r="L230" s="9">
        <v>3.8269999999999998E-2</v>
      </c>
      <c r="M230" s="12">
        <v>0.21107808219178079</v>
      </c>
      <c r="N230" s="10">
        <f t="shared" si="3"/>
        <v>1.4185135072327324</v>
      </c>
    </row>
    <row r="231" spans="1:14" x14ac:dyDescent="0.3">
      <c r="A231" t="s">
        <v>53</v>
      </c>
      <c r="B231" t="s">
        <v>54</v>
      </c>
      <c r="C231">
        <v>2023</v>
      </c>
      <c r="D231" s="9"/>
      <c r="E231" s="9">
        <v>3.5156587251317602E-2</v>
      </c>
      <c r="F231" s="10">
        <v>2590</v>
      </c>
      <c r="G231" s="9">
        <v>0.39213599999999998</v>
      </c>
      <c r="H231" s="11">
        <v>227.88294500000001</v>
      </c>
      <c r="I231" s="10">
        <v>337.02455094083848</v>
      </c>
      <c r="J231" s="9">
        <v>6.4165206069568326E-2</v>
      </c>
      <c r="K231" s="12"/>
      <c r="L231" s="9">
        <v>3.074E-2</v>
      </c>
      <c r="M231" s="12">
        <v>0</v>
      </c>
      <c r="N231" s="10">
        <f t="shared" si="3"/>
        <v>1.4789371400340576</v>
      </c>
    </row>
    <row r="232" spans="1:14" x14ac:dyDescent="0.3">
      <c r="A232" t="s">
        <v>53</v>
      </c>
      <c r="B232" t="s">
        <v>54</v>
      </c>
      <c r="C232">
        <v>2024</v>
      </c>
      <c r="D232" s="9"/>
      <c r="E232" s="9"/>
      <c r="F232" s="10">
        <v>1700</v>
      </c>
      <c r="G232" s="9"/>
      <c r="H232" s="11">
        <v>232.67947799999999</v>
      </c>
      <c r="I232" s="10">
        <v>169.04008552457969</v>
      </c>
      <c r="J232" s="9">
        <v>-0.4984494801244681</v>
      </c>
      <c r="K232" s="12"/>
      <c r="L232" s="9">
        <v>3.0449999999999998E-2</v>
      </c>
      <c r="M232" s="12">
        <v>0</v>
      </c>
      <c r="N232" s="10">
        <f t="shared" si="3"/>
        <v>0.72649331594503452</v>
      </c>
    </row>
    <row r="233" spans="1:14" x14ac:dyDescent="0.3">
      <c r="A233" t="s">
        <v>55</v>
      </c>
      <c r="B233" t="s">
        <v>56</v>
      </c>
      <c r="C233">
        <v>2014</v>
      </c>
      <c r="D233" s="9">
        <v>0.27124999999999999</v>
      </c>
      <c r="E233" s="9">
        <v>3.1364108465840097E-2</v>
      </c>
      <c r="F233" s="10">
        <v>105070</v>
      </c>
      <c r="G233" s="9">
        <v>0.963005</v>
      </c>
      <c r="H233" s="11">
        <v>5.137232</v>
      </c>
      <c r="J233" s="9"/>
      <c r="K233" s="12"/>
      <c r="L233" s="9">
        <v>3.4860000000000002E-2</v>
      </c>
      <c r="M233" s="12">
        <v>0</v>
      </c>
      <c r="N233" s="10">
        <f t="shared" si="3"/>
        <v>0</v>
      </c>
    </row>
    <row r="234" spans="1:14" x14ac:dyDescent="0.3">
      <c r="A234" t="s">
        <v>55</v>
      </c>
      <c r="B234" t="s">
        <v>56</v>
      </c>
      <c r="C234">
        <v>2015</v>
      </c>
      <c r="D234" s="9">
        <v>0.27410999298095701</v>
      </c>
      <c r="E234" s="9">
        <v>3.117158995683E-2</v>
      </c>
      <c r="F234" s="10">
        <v>93440</v>
      </c>
      <c r="G234" s="9">
        <v>0.96810299999999994</v>
      </c>
      <c r="H234" s="11">
        <v>5.1886070000000002</v>
      </c>
      <c r="I234" s="10">
        <v>210.4582450410164</v>
      </c>
      <c r="J234" s="9"/>
      <c r="K234" s="12"/>
      <c r="L234" s="9">
        <v>4.2960000000000005E-2</v>
      </c>
      <c r="M234" s="12">
        <v>0</v>
      </c>
      <c r="N234" s="10">
        <f t="shared" si="3"/>
        <v>40.561608354808214</v>
      </c>
    </row>
    <row r="235" spans="1:14" x14ac:dyDescent="0.3">
      <c r="A235" t="s">
        <v>55</v>
      </c>
      <c r="B235" t="s">
        <v>56</v>
      </c>
      <c r="C235">
        <v>2016</v>
      </c>
      <c r="D235" s="9">
        <v>0.27697999954223629</v>
      </c>
      <c r="E235" s="9">
        <v>3.1351166444689001E-2</v>
      </c>
      <c r="F235" s="10">
        <v>81870</v>
      </c>
      <c r="G235" s="9">
        <v>0.9729819999999999</v>
      </c>
      <c r="H235" s="11">
        <v>5.2345189999999997</v>
      </c>
      <c r="I235" s="10">
        <v>191.89668935536091</v>
      </c>
      <c r="J235" s="9">
        <v>-8.8002851721232789E-2</v>
      </c>
      <c r="K235" s="12"/>
      <c r="L235" s="9">
        <v>4.6799999999999994E-2</v>
      </c>
      <c r="M235" s="12">
        <v>0</v>
      </c>
      <c r="N235" s="10">
        <f t="shared" si="3"/>
        <v>36.659851527019178</v>
      </c>
    </row>
    <row r="236" spans="1:14" x14ac:dyDescent="0.3">
      <c r="A236" t="s">
        <v>55</v>
      </c>
      <c r="B236" t="s">
        <v>56</v>
      </c>
      <c r="C236">
        <v>2017</v>
      </c>
      <c r="D236" s="9">
        <v>0.27573999404907229</v>
      </c>
      <c r="E236" s="9">
        <v>3.1550614695525503E-2</v>
      </c>
      <c r="F236" s="10">
        <v>76230</v>
      </c>
      <c r="G236" s="9">
        <v>0.9635760000000001</v>
      </c>
      <c r="H236" s="11">
        <v>5.2769680000000001</v>
      </c>
      <c r="I236" s="10">
        <v>221.47210472351159</v>
      </c>
      <c r="J236" s="9">
        <v>0.15455123586352637</v>
      </c>
      <c r="K236" s="12"/>
      <c r="L236" s="9">
        <v>4.1639999999999996E-2</v>
      </c>
      <c r="M236" s="12">
        <v>0</v>
      </c>
      <c r="N236" s="10">
        <f t="shared" si="3"/>
        <v>41.969575089997058</v>
      </c>
    </row>
    <row r="237" spans="1:14" x14ac:dyDescent="0.3">
      <c r="A237" t="s">
        <v>55</v>
      </c>
      <c r="B237" t="s">
        <v>56</v>
      </c>
      <c r="C237">
        <v>2018</v>
      </c>
      <c r="D237" s="9">
        <v>0.27450000762939447</v>
      </c>
      <c r="E237" s="9">
        <v>3.17586928678519E-2</v>
      </c>
      <c r="F237" s="10">
        <v>80970</v>
      </c>
      <c r="G237" s="9">
        <v>0.96491699999999991</v>
      </c>
      <c r="H237" s="11">
        <v>5.3119160000000001</v>
      </c>
      <c r="I237" s="10">
        <v>254.84983720294841</v>
      </c>
      <c r="J237" s="9">
        <v>0.15211445325958439</v>
      </c>
      <c r="K237" s="12"/>
      <c r="L237" s="9">
        <v>3.8010000000000002E-2</v>
      </c>
      <c r="M237" s="12">
        <v>0</v>
      </c>
      <c r="N237" s="10">
        <f t="shared" si="3"/>
        <v>47.977008146015187</v>
      </c>
    </row>
    <row r="238" spans="1:14" x14ac:dyDescent="0.3">
      <c r="A238" t="s">
        <v>55</v>
      </c>
      <c r="B238" t="s">
        <v>56</v>
      </c>
      <c r="C238">
        <v>2019</v>
      </c>
      <c r="D238" s="9">
        <v>0.27326000213623053</v>
      </c>
      <c r="E238" s="9">
        <v>3.1956517509879698E-2</v>
      </c>
      <c r="F238" s="10">
        <v>82430</v>
      </c>
      <c r="G238" s="9">
        <v>0.98</v>
      </c>
      <c r="H238" s="11">
        <v>5.3478960000000004</v>
      </c>
      <c r="I238" s="10">
        <v>237.8406843163973</v>
      </c>
      <c r="J238" s="9">
        <v>-6.6403870448910829E-2</v>
      </c>
      <c r="K238" s="12"/>
      <c r="L238" s="9">
        <v>3.6840000000000005E-2</v>
      </c>
      <c r="M238" s="12">
        <v>0</v>
      </c>
      <c r="N238" s="10">
        <f t="shared" si="3"/>
        <v>44.473692890885928</v>
      </c>
    </row>
    <row r="239" spans="1:14" x14ac:dyDescent="0.3">
      <c r="A239" t="s">
        <v>55</v>
      </c>
      <c r="B239" t="s">
        <v>56</v>
      </c>
      <c r="C239">
        <v>2020</v>
      </c>
      <c r="D239" s="9">
        <v>0.2759000015258789</v>
      </c>
      <c r="E239" s="9">
        <v>3.6417216633765799E-2</v>
      </c>
      <c r="F239" s="10">
        <v>78610</v>
      </c>
      <c r="G239" s="9">
        <v>0.94607600000000003</v>
      </c>
      <c r="H239" s="11">
        <v>5.3794750000000002</v>
      </c>
      <c r="I239" s="10">
        <v>252.5381508087394</v>
      </c>
      <c r="J239" s="9">
        <v>6.4573574765039998E-2</v>
      </c>
      <c r="K239" s="12">
        <v>0.41726010928961749</v>
      </c>
      <c r="L239" s="9">
        <v>4.4240000000000002E-2</v>
      </c>
      <c r="M239" s="12">
        <v>0.41726010928961749</v>
      </c>
      <c r="N239" s="10">
        <f t="shared" si="3"/>
        <v>46.944757770737738</v>
      </c>
    </row>
    <row r="240" spans="1:14" x14ac:dyDescent="0.3">
      <c r="A240" t="s">
        <v>55</v>
      </c>
      <c r="B240" t="s">
        <v>56</v>
      </c>
      <c r="C240">
        <v>2021</v>
      </c>
      <c r="D240" s="9">
        <v>0.29340000152587892</v>
      </c>
      <c r="E240" s="9">
        <v>3.6935136340044597E-2</v>
      </c>
      <c r="F240" s="10">
        <v>81770</v>
      </c>
      <c r="G240" s="9">
        <v>0.99</v>
      </c>
      <c r="H240" s="11">
        <v>5.4083199999999998</v>
      </c>
      <c r="I240" s="10">
        <v>349.14528390407793</v>
      </c>
      <c r="J240" s="9">
        <v>0.37946521703308922</v>
      </c>
      <c r="K240" s="12">
        <v>0.5034126027397261</v>
      </c>
      <c r="L240" s="9">
        <v>4.3589999999999997E-2</v>
      </c>
      <c r="M240" s="12">
        <v>0.5034126027397261</v>
      </c>
      <c r="N240" s="10">
        <f t="shared" si="3"/>
        <v>64.557068350999558</v>
      </c>
    </row>
    <row r="241" spans="1:14" x14ac:dyDescent="0.3">
      <c r="A241" t="s">
        <v>55</v>
      </c>
      <c r="B241" t="s">
        <v>56</v>
      </c>
      <c r="C241">
        <v>2022</v>
      </c>
      <c r="D241" s="9">
        <v>0.29340000152587892</v>
      </c>
      <c r="E241" s="9">
        <v>3.6441004320152702E-2</v>
      </c>
      <c r="F241" s="10">
        <v>94290</v>
      </c>
      <c r="G241" s="9">
        <v>0.99</v>
      </c>
      <c r="H241" s="11">
        <v>5.4571269999999998</v>
      </c>
      <c r="I241" s="10">
        <v>385.87816482809461</v>
      </c>
      <c r="J241" s="9">
        <v>0.10328625932349222</v>
      </c>
      <c r="K241" s="12">
        <v>0.14806246575342472</v>
      </c>
      <c r="L241" s="9">
        <v>3.2309999999999998E-2</v>
      </c>
      <c r="M241" s="12">
        <v>0.14806246575342472</v>
      </c>
      <c r="N241" s="10">
        <f t="shared" si="3"/>
        <v>70.710863945093195</v>
      </c>
    </row>
    <row r="242" spans="1:14" x14ac:dyDescent="0.3">
      <c r="A242" t="s">
        <v>55</v>
      </c>
      <c r="B242" t="s">
        <v>56</v>
      </c>
      <c r="C242">
        <v>2023</v>
      </c>
      <c r="D242" s="9"/>
      <c r="E242" s="9">
        <v>3.7349519677009398E-2</v>
      </c>
      <c r="F242" s="10">
        <v>101640</v>
      </c>
      <c r="G242" s="9">
        <v>0.99</v>
      </c>
      <c r="H242" s="11">
        <v>5.5196009999999998</v>
      </c>
      <c r="I242" s="10">
        <v>374.95833164607109</v>
      </c>
      <c r="J242" s="9">
        <v>-2.8791598428275833E-2</v>
      </c>
      <c r="K242" s="12"/>
      <c r="L242" s="9">
        <v>3.5740000000000001E-2</v>
      </c>
      <c r="M242" s="12">
        <v>0</v>
      </c>
      <c r="N242" s="10">
        <f t="shared" si="3"/>
        <v>67.932144306458227</v>
      </c>
    </row>
    <row r="243" spans="1:14" x14ac:dyDescent="0.3">
      <c r="A243" t="s">
        <v>55</v>
      </c>
      <c r="B243" t="s">
        <v>56</v>
      </c>
      <c r="C243">
        <v>2024</v>
      </c>
      <c r="D243" s="9"/>
      <c r="E243" s="9"/>
      <c r="F243" s="10">
        <v>98170</v>
      </c>
      <c r="G243" s="9"/>
      <c r="H243" s="11">
        <v>5.572279</v>
      </c>
      <c r="I243" s="10">
        <v>343.18891160579102</v>
      </c>
      <c r="J243" s="9">
        <v>-8.4756276913082851E-2</v>
      </c>
      <c r="K243" s="12"/>
      <c r="L243" s="9">
        <v>0.04</v>
      </c>
      <c r="M243" s="12">
        <v>0</v>
      </c>
      <c r="N243" s="10">
        <f t="shared" si="3"/>
        <v>61.588608826979232</v>
      </c>
    </row>
    <row r="244" spans="1:14" x14ac:dyDescent="0.3">
      <c r="A244" t="s">
        <v>57</v>
      </c>
      <c r="B244" t="s">
        <v>58</v>
      </c>
      <c r="C244">
        <v>2014</v>
      </c>
      <c r="D244" s="9">
        <v>0.44041999816894534</v>
      </c>
      <c r="E244" s="9">
        <v>3.46752319462919E-2</v>
      </c>
      <c r="F244" s="10">
        <v>1250</v>
      </c>
      <c r="G244" s="9">
        <v>0.1</v>
      </c>
      <c r="H244" s="11">
        <v>214.264647</v>
      </c>
      <c r="J244" s="9"/>
      <c r="K244" s="12"/>
      <c r="L244" s="9">
        <v>1.8269999999999998E-2</v>
      </c>
      <c r="M244" s="12">
        <v>0</v>
      </c>
      <c r="N244" s="10">
        <f t="shared" si="3"/>
        <v>0</v>
      </c>
    </row>
    <row r="245" spans="1:14" x14ac:dyDescent="0.3">
      <c r="A245" t="s">
        <v>57</v>
      </c>
      <c r="B245" t="s">
        <v>58</v>
      </c>
      <c r="C245">
        <v>2015</v>
      </c>
      <c r="D245" s="9">
        <v>0.44734001159667969</v>
      </c>
      <c r="E245" s="9">
        <v>3.4852801079875498E-2</v>
      </c>
      <c r="F245" s="10">
        <v>1280</v>
      </c>
      <c r="G245" s="9">
        <v>0.11</v>
      </c>
      <c r="H245" s="11">
        <v>217.29088300000001</v>
      </c>
      <c r="I245" s="10">
        <v>87.352651613206419</v>
      </c>
      <c r="J245" s="9"/>
      <c r="K245" s="12"/>
      <c r="L245" s="9">
        <v>3.5659999999999997E-2</v>
      </c>
      <c r="M245" s="12">
        <v>0</v>
      </c>
      <c r="N245" s="10">
        <f t="shared" si="3"/>
        <v>0.40200790022656596</v>
      </c>
    </row>
    <row r="246" spans="1:14" x14ac:dyDescent="0.3">
      <c r="A246" t="s">
        <v>57</v>
      </c>
      <c r="B246" t="s">
        <v>58</v>
      </c>
      <c r="C246">
        <v>2016</v>
      </c>
      <c r="D246" s="9">
        <v>0.4542599868774414</v>
      </c>
      <c r="E246" s="9">
        <v>3.4977588552003003E-2</v>
      </c>
      <c r="F246" s="10">
        <v>1360</v>
      </c>
      <c r="G246" s="9">
        <v>0.12385400000000001</v>
      </c>
      <c r="H246" s="11">
        <v>220.138869</v>
      </c>
      <c r="I246" s="10">
        <v>124.1265446525248</v>
      </c>
      <c r="J246" s="9">
        <v>0.42128285127122012</v>
      </c>
      <c r="K246" s="12"/>
      <c r="L246" s="9">
        <v>2.2850000000000002E-2</v>
      </c>
      <c r="M246" s="12">
        <v>0</v>
      </c>
      <c r="N246" s="10">
        <f t="shared" si="3"/>
        <v>0.56385564810240207</v>
      </c>
    </row>
    <row r="247" spans="1:14" x14ac:dyDescent="0.3">
      <c r="A247" t="s">
        <v>57</v>
      </c>
      <c r="B247" t="s">
        <v>58</v>
      </c>
      <c r="C247">
        <v>2017</v>
      </c>
      <c r="D247" s="9">
        <v>0.4497200012207031</v>
      </c>
      <c r="E247" s="9">
        <v>3.5006466664170503E-2</v>
      </c>
      <c r="F247" s="10">
        <v>1450</v>
      </c>
      <c r="G247" s="9">
        <v>0.13780000000000001</v>
      </c>
      <c r="H247" s="11">
        <v>223.273967</v>
      </c>
      <c r="I247" s="10">
        <v>126.6671127400687</v>
      </c>
      <c r="J247" s="9">
        <v>2.0847489713926803E-2</v>
      </c>
      <c r="K247" s="12"/>
      <c r="L247" s="9">
        <v>3.2039999999999999E-2</v>
      </c>
      <c r="M247" s="12">
        <v>0</v>
      </c>
      <c r="N247" s="10">
        <f t="shared" si="3"/>
        <v>0.56731698030907785</v>
      </c>
    </row>
    <row r="248" spans="1:14" x14ac:dyDescent="0.3">
      <c r="A248" t="s">
        <v>57</v>
      </c>
      <c r="B248" t="s">
        <v>58</v>
      </c>
      <c r="C248">
        <v>2018</v>
      </c>
      <c r="D248" s="9">
        <v>0.44516998291015619</v>
      </c>
      <c r="E248" s="9">
        <v>3.5125921793439298E-2</v>
      </c>
      <c r="F248" s="10">
        <v>1560</v>
      </c>
      <c r="G248" s="9">
        <v>0.15340000000000001</v>
      </c>
      <c r="H248" s="11">
        <v>226.92889199999999</v>
      </c>
      <c r="I248" s="10">
        <v>174.62373318628761</v>
      </c>
      <c r="J248" s="9">
        <v>0.38028794339724015</v>
      </c>
      <c r="K248" s="12"/>
      <c r="L248" s="9">
        <v>4.0830000000000005E-2</v>
      </c>
      <c r="M248" s="12">
        <v>0</v>
      </c>
      <c r="N248" s="10">
        <f t="shared" si="3"/>
        <v>0.76950859649148429</v>
      </c>
    </row>
    <row r="249" spans="1:14" x14ac:dyDescent="0.3">
      <c r="A249" t="s">
        <v>57</v>
      </c>
      <c r="B249" t="s">
        <v>58</v>
      </c>
      <c r="C249">
        <v>2019</v>
      </c>
      <c r="D249" s="9">
        <v>0.44062999725341795</v>
      </c>
      <c r="E249" s="9">
        <v>3.5109708339614097E-2</v>
      </c>
      <c r="F249" s="10">
        <v>1520</v>
      </c>
      <c r="G249" s="9">
        <v>0.17070900000000003</v>
      </c>
      <c r="H249" s="11">
        <v>230.80089899999999</v>
      </c>
      <c r="I249" s="10">
        <v>179.5759263860063</v>
      </c>
      <c r="J249" s="9">
        <v>2.8731656507542169E-2</v>
      </c>
      <c r="K249" s="12"/>
      <c r="L249" s="9">
        <v>4.8300000000000003E-2</v>
      </c>
      <c r="M249" s="12">
        <v>0</v>
      </c>
      <c r="N249" s="10">
        <f t="shared" si="3"/>
        <v>0.77805557588407104</v>
      </c>
    </row>
    <row r="250" spans="1:14" x14ac:dyDescent="0.3">
      <c r="A250" t="s">
        <v>57</v>
      </c>
      <c r="B250" t="s">
        <v>58</v>
      </c>
      <c r="C250">
        <v>2020</v>
      </c>
      <c r="D250" s="9">
        <v>0.44062999725341795</v>
      </c>
      <c r="E250" s="9">
        <v>4.3502300897771302E-2</v>
      </c>
      <c r="F250" s="10">
        <v>1370</v>
      </c>
      <c r="G250" s="9">
        <v>0.18934799999999999</v>
      </c>
      <c r="H250" s="11">
        <v>235.001746</v>
      </c>
      <c r="I250" s="10">
        <v>191.78234113490339</v>
      </c>
      <c r="J250" s="9">
        <v>7.0767871826346918E-2</v>
      </c>
      <c r="K250" s="12">
        <v>0.54506202185792352</v>
      </c>
      <c r="L250" s="9">
        <v>5.994E-2</v>
      </c>
      <c r="M250" s="12">
        <v>0.54506202185792352</v>
      </c>
      <c r="N250" s="10">
        <f t="shared" si="3"/>
        <v>0.81608900529148998</v>
      </c>
    </row>
    <row r="251" spans="1:14" x14ac:dyDescent="0.3">
      <c r="A251" t="s">
        <v>57</v>
      </c>
      <c r="B251" t="s">
        <v>58</v>
      </c>
      <c r="C251">
        <v>2021</v>
      </c>
      <c r="D251" s="9">
        <v>0.44062999725341795</v>
      </c>
      <c r="E251" s="9">
        <v>4.3748994992430998E-2</v>
      </c>
      <c r="F251" s="10">
        <v>1420</v>
      </c>
      <c r="G251" s="9">
        <v>0.21410699999999999</v>
      </c>
      <c r="H251" s="11">
        <v>239.477801</v>
      </c>
      <c r="I251" s="10">
        <v>242.270258323099</v>
      </c>
      <c r="J251" s="9">
        <v>0.26044255303526809</v>
      </c>
      <c r="K251" s="12">
        <v>0.57809890410958908</v>
      </c>
      <c r="L251" s="9">
        <v>6.3380000000000006E-2</v>
      </c>
      <c r="M251" s="12">
        <v>0.57809890410958908</v>
      </c>
      <c r="N251" s="10">
        <f t="shared" si="3"/>
        <v>1.0116606103423298</v>
      </c>
    </row>
    <row r="252" spans="1:14" x14ac:dyDescent="0.3">
      <c r="A252" t="s">
        <v>57</v>
      </c>
      <c r="B252" t="s">
        <v>58</v>
      </c>
      <c r="C252">
        <v>2022</v>
      </c>
      <c r="D252" s="9">
        <v>0.44062999725341795</v>
      </c>
      <c r="E252" s="9">
        <v>4.2766359937953399E-2</v>
      </c>
      <c r="F252" s="10">
        <v>1510</v>
      </c>
      <c r="G252" s="9">
        <v>0.24210300000000001</v>
      </c>
      <c r="H252" s="11">
        <v>243.70066700000001</v>
      </c>
      <c r="I252" s="10">
        <v>247.30207229838979</v>
      </c>
      <c r="J252" s="9">
        <v>1.8994496277608075E-2</v>
      </c>
      <c r="K252" s="12">
        <v>0.44443753424657528</v>
      </c>
      <c r="L252" s="9">
        <v>5.2910000000000006E-2</v>
      </c>
      <c r="M252" s="12">
        <v>0.44443753424657528</v>
      </c>
      <c r="N252" s="10">
        <f t="shared" si="3"/>
        <v>1.0147779870392795</v>
      </c>
    </row>
    <row r="253" spans="1:14" x14ac:dyDescent="0.3">
      <c r="A253" t="s">
        <v>57</v>
      </c>
      <c r="B253" t="s">
        <v>58</v>
      </c>
      <c r="C253">
        <v>2023</v>
      </c>
      <c r="D253" s="9"/>
      <c r="E253" s="9">
        <v>4.3744722514717102E-2</v>
      </c>
      <c r="F253" s="10">
        <v>1450</v>
      </c>
      <c r="G253" s="9">
        <v>0.27375900000000003</v>
      </c>
      <c r="H253" s="11">
        <v>247.50449499999999</v>
      </c>
      <c r="I253" s="10">
        <v>250.79469511538349</v>
      </c>
      <c r="J253" s="9">
        <v>1.3608438016100788E-2</v>
      </c>
      <c r="K253" s="12"/>
      <c r="L253" s="9">
        <v>5.237E-2</v>
      </c>
      <c r="M253" s="12">
        <v>0</v>
      </c>
      <c r="N253" s="10">
        <f t="shared" si="3"/>
        <v>1.013293496408554</v>
      </c>
    </row>
    <row r="254" spans="1:14" x14ac:dyDescent="0.3">
      <c r="A254" t="s">
        <v>57</v>
      </c>
      <c r="B254" t="s">
        <v>58</v>
      </c>
      <c r="C254">
        <v>2024</v>
      </c>
      <c r="D254" s="9"/>
      <c r="E254" s="9"/>
      <c r="F254" s="10">
        <v>1430</v>
      </c>
      <c r="G254" s="9"/>
      <c r="H254" s="11">
        <v>251.26916399999999</v>
      </c>
      <c r="I254" s="10">
        <v>218.90644163053739</v>
      </c>
      <c r="J254" s="9">
        <v>-0.12717592789538013</v>
      </c>
      <c r="K254" s="12"/>
      <c r="L254" s="9">
        <v>5.4919999999999997E-2</v>
      </c>
      <c r="M254" s="12">
        <v>0</v>
      </c>
      <c r="N254" s="10">
        <f t="shared" si="3"/>
        <v>0.87120296874365932</v>
      </c>
    </row>
    <row r="255" spans="1:14" x14ac:dyDescent="0.3">
      <c r="A255" t="s">
        <v>59</v>
      </c>
      <c r="B255" t="s">
        <v>60</v>
      </c>
      <c r="C255">
        <v>2014</v>
      </c>
      <c r="D255" s="9">
        <v>0.45054000854492188</v>
      </c>
      <c r="E255" s="9">
        <v>2.1159649781549199E-2</v>
      </c>
      <c r="F255" s="10">
        <v>3220</v>
      </c>
      <c r="G255" s="9">
        <v>0.34700000000000003</v>
      </c>
      <c r="H255" s="11">
        <v>103.76712999999999</v>
      </c>
      <c r="J255" s="9"/>
      <c r="K255" s="12"/>
      <c r="L255" s="9">
        <v>3.6000000000000004E-2</v>
      </c>
      <c r="M255" s="12">
        <v>0</v>
      </c>
      <c r="N255" s="10">
        <f t="shared" si="3"/>
        <v>0</v>
      </c>
    </row>
    <row r="256" spans="1:14" x14ac:dyDescent="0.3">
      <c r="A256" t="s">
        <v>59</v>
      </c>
      <c r="B256" t="s">
        <v>60</v>
      </c>
      <c r="C256">
        <v>2015</v>
      </c>
      <c r="D256" s="9">
        <v>0.44398998260498046</v>
      </c>
      <c r="E256" s="9">
        <v>2.1456658886726401E-2</v>
      </c>
      <c r="F256" s="10">
        <v>3280</v>
      </c>
      <c r="G256" s="9">
        <v>0.36899999999999999</v>
      </c>
      <c r="H256" s="11">
        <v>105.31299199999999</v>
      </c>
      <c r="I256" s="10">
        <v>106.64466657448671</v>
      </c>
      <c r="J256" s="9"/>
      <c r="K256" s="12"/>
      <c r="L256" s="9">
        <v>3.0679999999999999E-2</v>
      </c>
      <c r="M256" s="12">
        <v>0</v>
      </c>
      <c r="N256" s="10">
        <f t="shared" si="3"/>
        <v>1.012644922048048</v>
      </c>
    </row>
    <row r="257" spans="1:14" x14ac:dyDescent="0.3">
      <c r="A257" t="s">
        <v>59</v>
      </c>
      <c r="B257" t="s">
        <v>60</v>
      </c>
      <c r="C257">
        <v>2016</v>
      </c>
      <c r="D257" s="9">
        <v>0.43631000518798829</v>
      </c>
      <c r="E257" s="9">
        <v>2.1772827857167502E-2</v>
      </c>
      <c r="F257" s="10">
        <v>3350</v>
      </c>
      <c r="G257" s="9">
        <v>0.39200000000000002</v>
      </c>
      <c r="H257" s="11">
        <v>106.735719</v>
      </c>
      <c r="I257" s="10">
        <v>121.4285577538535</v>
      </c>
      <c r="J257" s="9">
        <v>0.13886865150750771</v>
      </c>
      <c r="K257" s="12"/>
      <c r="L257" s="9">
        <v>2.6949999999999998E-2</v>
      </c>
      <c r="M257" s="12">
        <v>0</v>
      </c>
      <c r="N257" s="10">
        <f t="shared" si="3"/>
        <v>1.1376562493934528</v>
      </c>
    </row>
    <row r="258" spans="1:14" x14ac:dyDescent="0.3">
      <c r="A258" t="s">
        <v>59</v>
      </c>
      <c r="B258" t="s">
        <v>60</v>
      </c>
      <c r="C258">
        <v>2017</v>
      </c>
      <c r="D258" s="9">
        <v>0.42861999511718751</v>
      </c>
      <c r="E258" s="9">
        <v>2.20880553434484E-2</v>
      </c>
      <c r="F258" s="10">
        <v>3440</v>
      </c>
      <c r="G258" s="9">
        <v>0.41600000000000004</v>
      </c>
      <c r="H258" s="11">
        <v>108.119693</v>
      </c>
      <c r="I258" s="10">
        <v>135.3036078134883</v>
      </c>
      <c r="J258" s="9">
        <v>0.11467997727391221</v>
      </c>
      <c r="K258" s="12"/>
      <c r="L258" s="9">
        <v>2.5520000000000001E-2</v>
      </c>
      <c r="M258" s="12">
        <v>0</v>
      </c>
      <c r="N258" s="10">
        <f t="shared" si="3"/>
        <v>1.2514242693372086</v>
      </c>
    </row>
    <row r="259" spans="1:14" x14ac:dyDescent="0.3">
      <c r="A259" t="s">
        <v>59</v>
      </c>
      <c r="B259" t="s">
        <v>60</v>
      </c>
      <c r="C259">
        <v>2018</v>
      </c>
      <c r="D259" s="9">
        <v>0.42094001770019529</v>
      </c>
      <c r="E259" s="9">
        <v>2.2440356357201499E-2</v>
      </c>
      <c r="F259" s="10">
        <v>3610</v>
      </c>
      <c r="G259" s="9">
        <v>0.441</v>
      </c>
      <c r="H259" s="11">
        <v>109.465287</v>
      </c>
      <c r="I259" s="10">
        <v>194.83436920244139</v>
      </c>
      <c r="J259" s="9">
        <v>0.44173848038890506</v>
      </c>
      <c r="K259" s="12"/>
      <c r="L259" s="9">
        <v>2.3380000000000001E-2</v>
      </c>
      <c r="M259" s="12">
        <v>0</v>
      </c>
      <c r="N259" s="10">
        <f t="shared" si="3"/>
        <v>1.7798735520826925</v>
      </c>
    </row>
    <row r="260" spans="1:14" x14ac:dyDescent="0.3">
      <c r="A260" t="s">
        <v>59</v>
      </c>
      <c r="B260" t="s">
        <v>60</v>
      </c>
      <c r="C260">
        <v>2019</v>
      </c>
      <c r="D260" s="9">
        <v>0.41564998626708977</v>
      </c>
      <c r="E260" s="9">
        <v>2.2832652821867801E-2</v>
      </c>
      <c r="F260" s="10">
        <v>3760</v>
      </c>
      <c r="G260" s="9">
        <v>0.43026600000000004</v>
      </c>
      <c r="H260" s="11">
        <v>110.804683</v>
      </c>
      <c r="I260" s="10">
        <v>223.83558803295239</v>
      </c>
      <c r="J260" s="9">
        <v>0.14926670341625425</v>
      </c>
      <c r="K260" s="12"/>
      <c r="L260" s="9">
        <v>2.2370000000000001E-2</v>
      </c>
      <c r="M260" s="12">
        <v>0</v>
      </c>
      <c r="N260" s="10">
        <f t="shared" si="3"/>
        <v>2.0200914074448675</v>
      </c>
    </row>
    <row r="261" spans="1:14" x14ac:dyDescent="0.3">
      <c r="A261" t="s">
        <v>59</v>
      </c>
      <c r="B261" t="s">
        <v>60</v>
      </c>
      <c r="C261">
        <v>2020</v>
      </c>
      <c r="D261" s="9">
        <v>0.41035999298095704</v>
      </c>
      <c r="E261" s="9">
        <v>2.6857150062341101E-2</v>
      </c>
      <c r="F261" s="10">
        <v>3350</v>
      </c>
      <c r="G261" s="9">
        <v>0.53764899999999993</v>
      </c>
      <c r="H261" s="11">
        <v>112.081264</v>
      </c>
      <c r="I261" s="10">
        <v>253.69315102389859</v>
      </c>
      <c r="J261" s="9">
        <v>0.13635607274509942</v>
      </c>
      <c r="K261" s="12">
        <v>0.65828989071038246</v>
      </c>
      <c r="L261" s="9">
        <v>2.5219999999999999E-2</v>
      </c>
      <c r="M261" s="12">
        <v>0.65828989071038246</v>
      </c>
      <c r="N261" s="10">
        <f t="shared" si="3"/>
        <v>2.2634751069893233</v>
      </c>
    </row>
    <row r="262" spans="1:14" x14ac:dyDescent="0.3">
      <c r="A262" t="s">
        <v>59</v>
      </c>
      <c r="B262" t="s">
        <v>60</v>
      </c>
      <c r="C262">
        <v>2021</v>
      </c>
      <c r="D262" s="9">
        <v>0.40506000518798829</v>
      </c>
      <c r="E262" s="9">
        <v>2.88108493313169E-2</v>
      </c>
      <c r="F262" s="10">
        <v>3570</v>
      </c>
      <c r="G262" s="9">
        <v>0.66907799999999995</v>
      </c>
      <c r="H262" s="11">
        <v>113.10095</v>
      </c>
      <c r="I262" s="10">
        <v>294.64156661144921</v>
      </c>
      <c r="J262" s="9">
        <v>0.15882229588889007</v>
      </c>
      <c r="K262" s="12">
        <v>0.72812821917808224</v>
      </c>
      <c r="L262" s="9">
        <v>3.3980000000000003E-2</v>
      </c>
      <c r="M262" s="12">
        <v>0.72812821917808224</v>
      </c>
      <c r="N262" s="10">
        <f t="shared" si="3"/>
        <v>2.6051201746002066</v>
      </c>
    </row>
    <row r="263" spans="1:14" x14ac:dyDescent="0.3">
      <c r="A263" t="s">
        <v>59</v>
      </c>
      <c r="B263" t="s">
        <v>60</v>
      </c>
      <c r="C263">
        <v>2022</v>
      </c>
      <c r="D263" s="9">
        <v>0.40506000518798829</v>
      </c>
      <c r="E263" s="9">
        <v>2.78173662157843E-2</v>
      </c>
      <c r="F263" s="10">
        <v>4010</v>
      </c>
      <c r="G263" s="9">
        <v>0.75211099999999997</v>
      </c>
      <c r="H263" s="11">
        <v>113.964338</v>
      </c>
      <c r="I263" s="10">
        <v>285.68543756868468</v>
      </c>
      <c r="J263" s="9">
        <v>-3.2082652705909043E-2</v>
      </c>
      <c r="K263" s="12">
        <v>0.36783643835616436</v>
      </c>
      <c r="L263" s="9">
        <v>2.598E-2</v>
      </c>
      <c r="M263" s="12">
        <v>0.36783643835616436</v>
      </c>
      <c r="N263" s="10">
        <f t="shared" ref="N263:N326" si="4">I263/H263</f>
        <v>2.5067967978604386</v>
      </c>
    </row>
    <row r="264" spans="1:14" x14ac:dyDescent="0.3">
      <c r="A264" t="s">
        <v>59</v>
      </c>
      <c r="B264" t="s">
        <v>60</v>
      </c>
      <c r="C264">
        <v>2023</v>
      </c>
      <c r="D264" s="9"/>
      <c r="E264" s="9">
        <v>2.8450318039652599E-2</v>
      </c>
      <c r="F264" s="10">
        <v>4320</v>
      </c>
      <c r="G264" s="9">
        <v>0.83766099999999999</v>
      </c>
      <c r="H264" s="11">
        <v>114.891199</v>
      </c>
      <c r="I264" s="10">
        <v>311.19088027598502</v>
      </c>
      <c r="J264" s="9">
        <v>8.872547408989262E-2</v>
      </c>
      <c r="K264" s="12"/>
      <c r="L264" s="9">
        <v>2.2000000000000002E-2</v>
      </c>
      <c r="M264" s="12">
        <v>0</v>
      </c>
      <c r="N264" s="10">
        <f t="shared" si="4"/>
        <v>2.7085702210835576</v>
      </c>
    </row>
    <row r="265" spans="1:14" x14ac:dyDescent="0.3">
      <c r="A265" t="s">
        <v>59</v>
      </c>
      <c r="B265" t="s">
        <v>60</v>
      </c>
      <c r="C265">
        <v>2024</v>
      </c>
      <c r="D265" s="9"/>
      <c r="E265" s="9"/>
      <c r="F265" s="10">
        <v>4470</v>
      </c>
      <c r="G265" s="9"/>
      <c r="H265" s="11">
        <v>115.84367</v>
      </c>
      <c r="I265" s="10">
        <v>319.76983494267569</v>
      </c>
      <c r="J265" s="9">
        <v>2.7536248523351015E-2</v>
      </c>
      <c r="K265" s="12"/>
      <c r="L265" s="9">
        <v>2.2019999999999998E-2</v>
      </c>
      <c r="M265" s="12">
        <v>0</v>
      </c>
      <c r="N265" s="10">
        <f t="shared" si="4"/>
        <v>2.7603565645207517</v>
      </c>
    </row>
    <row r="266" spans="1:14" x14ac:dyDescent="0.3">
      <c r="A266" t="s">
        <v>61</v>
      </c>
      <c r="B266" t="s">
        <v>62</v>
      </c>
      <c r="C266">
        <v>2014</v>
      </c>
      <c r="D266" s="9">
        <v>0.34237998962402338</v>
      </c>
      <c r="E266" s="9">
        <v>2.88214342547129E-2</v>
      </c>
      <c r="F266" s="10">
        <v>13540</v>
      </c>
      <c r="G266" s="9">
        <v>0.66598699999999988</v>
      </c>
      <c r="H266" s="11">
        <v>38.011735000000002</v>
      </c>
      <c r="J266" s="9"/>
      <c r="K266" s="12"/>
      <c r="L266" s="9">
        <v>8.9709999999999998E-2</v>
      </c>
      <c r="M266" s="12">
        <v>0</v>
      </c>
      <c r="N266" s="10">
        <f t="shared" si="4"/>
        <v>0</v>
      </c>
    </row>
    <row r="267" spans="1:14" x14ac:dyDescent="0.3">
      <c r="A267" t="s">
        <v>61</v>
      </c>
      <c r="B267" t="s">
        <v>62</v>
      </c>
      <c r="C267">
        <v>2015</v>
      </c>
      <c r="D267" s="9">
        <v>0.3365299987792969</v>
      </c>
      <c r="E267" s="9">
        <v>2.8770780061729399E-2</v>
      </c>
      <c r="F267" s="10">
        <v>13320</v>
      </c>
      <c r="G267" s="9">
        <v>0.67996999999999996</v>
      </c>
      <c r="H267" s="11">
        <v>37.986412000000001</v>
      </c>
      <c r="I267" s="10">
        <v>213.08252355990129</v>
      </c>
      <c r="J267" s="9"/>
      <c r="K267" s="12"/>
      <c r="L267" s="9">
        <v>7.4749999999999997E-2</v>
      </c>
      <c r="M267" s="12">
        <v>0</v>
      </c>
      <c r="N267" s="10">
        <f t="shared" si="4"/>
        <v>5.6094406484061006</v>
      </c>
    </row>
    <row r="268" spans="1:14" x14ac:dyDescent="0.3">
      <c r="A268" t="s">
        <v>61</v>
      </c>
      <c r="B268" t="s">
        <v>62</v>
      </c>
      <c r="C268">
        <v>2016</v>
      </c>
      <c r="D268" s="9">
        <v>0.31277000427246088</v>
      </c>
      <c r="E268" s="9">
        <v>2.8550089327542799E-2</v>
      </c>
      <c r="F268" s="10">
        <v>12740</v>
      </c>
      <c r="G268" s="9">
        <v>0.73300700000000008</v>
      </c>
      <c r="H268" s="11">
        <v>37.970086999999999</v>
      </c>
      <c r="I268" s="10">
        <v>221.79193445106131</v>
      </c>
      <c r="J268" s="9">
        <v>4.1093799562515132E-2</v>
      </c>
      <c r="K268" s="12"/>
      <c r="L268" s="9">
        <v>6.1409999999999999E-2</v>
      </c>
      <c r="M268" s="12">
        <v>0</v>
      </c>
      <c r="N268" s="10">
        <f t="shared" si="4"/>
        <v>5.841227976408411</v>
      </c>
    </row>
    <row r="269" spans="1:14" x14ac:dyDescent="0.3">
      <c r="A269" t="s">
        <v>61</v>
      </c>
      <c r="B269" t="s">
        <v>62</v>
      </c>
      <c r="C269">
        <v>2017</v>
      </c>
      <c r="D269" s="9">
        <v>0.30447000503540039</v>
      </c>
      <c r="E269" s="9">
        <v>2.8818840119478901E-2</v>
      </c>
      <c r="F269" s="10">
        <v>12780</v>
      </c>
      <c r="G269" s="9">
        <v>0.75985400000000003</v>
      </c>
      <c r="H269" s="11">
        <v>37.974826</v>
      </c>
      <c r="I269" s="10">
        <v>254.1924530449549</v>
      </c>
      <c r="J269" s="9">
        <v>0.14651189073768522</v>
      </c>
      <c r="K269" s="12"/>
      <c r="L269" s="9">
        <v>4.8669999999999998E-2</v>
      </c>
      <c r="M269" s="12">
        <v>0</v>
      </c>
      <c r="N269" s="10">
        <f t="shared" si="4"/>
        <v>6.6937094865149582</v>
      </c>
    </row>
    <row r="270" spans="1:14" x14ac:dyDescent="0.3">
      <c r="A270" t="s">
        <v>61</v>
      </c>
      <c r="B270" t="s">
        <v>62</v>
      </c>
      <c r="C270">
        <v>2018</v>
      </c>
      <c r="D270" s="9">
        <v>0.30774000167846682</v>
      </c>
      <c r="E270" s="9">
        <v>2.89268790093077E-2</v>
      </c>
      <c r="F270" s="10">
        <v>14310</v>
      </c>
      <c r="G270" s="9">
        <v>0.77541700000000002</v>
      </c>
      <c r="H270" s="11">
        <v>37.97475</v>
      </c>
      <c r="I270" s="10">
        <v>333.22032109927699</v>
      </c>
      <c r="J270" s="9">
        <v>0.31249943040082329</v>
      </c>
      <c r="K270" s="12"/>
      <c r="L270" s="9">
        <v>3.8350000000000002E-2</v>
      </c>
      <c r="M270" s="12">
        <v>0</v>
      </c>
      <c r="N270" s="10">
        <f t="shared" si="4"/>
        <v>8.7747864330713696</v>
      </c>
    </row>
    <row r="271" spans="1:14" x14ac:dyDescent="0.3">
      <c r="A271" t="s">
        <v>61</v>
      </c>
      <c r="B271" t="s">
        <v>62</v>
      </c>
      <c r="C271">
        <v>2019</v>
      </c>
      <c r="D271" s="9">
        <v>0.30916000366210938</v>
      </c>
      <c r="E271" s="9">
        <v>2.88509617463059E-2</v>
      </c>
      <c r="F271" s="10">
        <v>15510</v>
      </c>
      <c r="G271" s="9">
        <v>0.80435900000000005</v>
      </c>
      <c r="H271" s="11">
        <v>37.965474999999998</v>
      </c>
      <c r="I271" s="10">
        <v>373.45148647685193</v>
      </c>
      <c r="J271" s="9">
        <v>0.12114031910244827</v>
      </c>
      <c r="K271" s="12"/>
      <c r="L271" s="9">
        <v>3.2669999999999998E-2</v>
      </c>
      <c r="M271" s="12">
        <v>0</v>
      </c>
      <c r="N271" s="10">
        <f t="shared" si="4"/>
        <v>9.836607772636901</v>
      </c>
    </row>
    <row r="272" spans="1:14" x14ac:dyDescent="0.3">
      <c r="A272" t="s">
        <v>61</v>
      </c>
      <c r="B272" t="s">
        <v>62</v>
      </c>
      <c r="C272">
        <v>2020</v>
      </c>
      <c r="D272" s="9">
        <v>0.31777999877929691</v>
      </c>
      <c r="E272" s="9">
        <v>3.3742971796108703E-2</v>
      </c>
      <c r="F272" s="10">
        <v>15640</v>
      </c>
      <c r="G272" s="9">
        <v>0.83184899999999995</v>
      </c>
      <c r="H272" s="11">
        <v>37.515748000000002</v>
      </c>
      <c r="I272" s="10">
        <v>472.67988117979951</v>
      </c>
      <c r="J272" s="9">
        <v>0.26901792533634161</v>
      </c>
      <c r="K272" s="12">
        <v>0.48268224043715841</v>
      </c>
      <c r="L272" s="9">
        <v>3.1549999999999995E-2</v>
      </c>
      <c r="M272" s="12">
        <v>0.48268224043715841</v>
      </c>
      <c r="N272" s="10">
        <f t="shared" si="4"/>
        <v>12.599505711036322</v>
      </c>
    </row>
    <row r="273" spans="1:14" x14ac:dyDescent="0.3">
      <c r="A273" t="s">
        <v>61</v>
      </c>
      <c r="B273" t="s">
        <v>62</v>
      </c>
      <c r="C273">
        <v>2021</v>
      </c>
      <c r="D273" s="9">
        <v>0.31440999984741214</v>
      </c>
      <c r="E273" s="9">
        <v>3.4257840005051401E-2</v>
      </c>
      <c r="F273" s="10">
        <v>17470</v>
      </c>
      <c r="G273" s="9">
        <v>0.85374899999999998</v>
      </c>
      <c r="H273" s="11">
        <v>36.981558999999997</v>
      </c>
      <c r="I273" s="10">
        <v>523.39426748246512</v>
      </c>
      <c r="J273" s="9">
        <v>0.10482479974352898</v>
      </c>
      <c r="K273" s="12">
        <v>0.53053863013698632</v>
      </c>
      <c r="L273" s="9">
        <v>3.2680000000000001E-2</v>
      </c>
      <c r="M273" s="12">
        <v>0.53053863013698632</v>
      </c>
      <c r="N273" s="10">
        <f t="shared" si="4"/>
        <v>14.152844867423386</v>
      </c>
    </row>
    <row r="274" spans="1:14" x14ac:dyDescent="0.3">
      <c r="A274" t="s">
        <v>61</v>
      </c>
      <c r="B274" t="s">
        <v>62</v>
      </c>
      <c r="C274">
        <v>2022</v>
      </c>
      <c r="D274" s="9">
        <v>0.31492000579833979</v>
      </c>
      <c r="E274" s="9">
        <v>3.3837946819067703E-2</v>
      </c>
      <c r="F274" s="10">
        <v>19110</v>
      </c>
      <c r="G274" s="9">
        <v>0.86941100000000004</v>
      </c>
      <c r="H274" s="11">
        <v>36.821748999999997</v>
      </c>
      <c r="I274" s="10">
        <v>500.47124984578011</v>
      </c>
      <c r="J274" s="9">
        <v>-4.5459505069147754E-2</v>
      </c>
      <c r="K274" s="12">
        <v>0.1803156164383562</v>
      </c>
      <c r="L274" s="9">
        <v>2.811E-2</v>
      </c>
      <c r="M274" s="12">
        <v>0.1803156164383562</v>
      </c>
      <c r="N274" s="10">
        <f t="shared" si="4"/>
        <v>13.591729438104098</v>
      </c>
    </row>
    <row r="275" spans="1:14" x14ac:dyDescent="0.3">
      <c r="A275" t="s">
        <v>61</v>
      </c>
      <c r="B275" t="s">
        <v>62</v>
      </c>
      <c r="C275">
        <v>2023</v>
      </c>
      <c r="D275" s="9"/>
      <c r="E275" s="9">
        <v>3.4120098294025202E-2</v>
      </c>
      <c r="F275" s="10">
        <v>19890</v>
      </c>
      <c r="G275" s="9">
        <v>0.864147</v>
      </c>
      <c r="H275" s="11">
        <v>36.687353000000002</v>
      </c>
      <c r="I275" s="10">
        <v>531.10485104920588</v>
      </c>
      <c r="J275" s="9">
        <v>6.0671161949187091E-2</v>
      </c>
      <c r="K275" s="12"/>
      <c r="L275" s="9">
        <v>2.743E-2</v>
      </c>
      <c r="M275" s="12">
        <v>0</v>
      </c>
      <c r="N275" s="10">
        <f t="shared" si="4"/>
        <v>14.476510503475295</v>
      </c>
    </row>
    <row r="276" spans="1:14" x14ac:dyDescent="0.3">
      <c r="A276" t="s">
        <v>61</v>
      </c>
      <c r="B276" t="s">
        <v>62</v>
      </c>
      <c r="C276">
        <v>2024</v>
      </c>
      <c r="D276" s="9"/>
      <c r="E276" s="9"/>
      <c r="F276" s="10">
        <v>21590</v>
      </c>
      <c r="G276" s="9">
        <v>0.88584999999999992</v>
      </c>
      <c r="H276" s="11">
        <v>36.559232999999999</v>
      </c>
      <c r="I276" s="10">
        <v>566.96761896543399</v>
      </c>
      <c r="J276" s="9">
        <v>6.7491701292516471E-2</v>
      </c>
      <c r="K276" s="12"/>
      <c r="L276" s="9">
        <v>2.8069999999999998E-2</v>
      </c>
      <c r="M276" s="12">
        <v>0</v>
      </c>
      <c r="N276" s="10">
        <f t="shared" si="4"/>
        <v>15.508192389195747</v>
      </c>
    </row>
    <row r="277" spans="1:14" x14ac:dyDescent="0.3">
      <c r="A277" t="s">
        <v>63</v>
      </c>
      <c r="B277" t="s">
        <v>64</v>
      </c>
      <c r="C277">
        <v>2014</v>
      </c>
      <c r="D277" s="9">
        <v>0.31483999252319339</v>
      </c>
      <c r="E277" s="9">
        <v>2.6837250843424799E-2</v>
      </c>
      <c r="F277" s="10">
        <v>29480</v>
      </c>
      <c r="G277" s="9"/>
      <c r="H277" s="11">
        <v>50.746659000000001</v>
      </c>
      <c r="J277" s="9"/>
      <c r="K277" s="12"/>
      <c r="L277" s="9">
        <v>3.082E-2</v>
      </c>
      <c r="M277" s="12">
        <v>0</v>
      </c>
      <c r="N277" s="10">
        <f t="shared" si="4"/>
        <v>0</v>
      </c>
    </row>
    <row r="278" spans="1:14" x14ac:dyDescent="0.3">
      <c r="A278" t="s">
        <v>63</v>
      </c>
      <c r="B278" t="s">
        <v>64</v>
      </c>
      <c r="C278">
        <v>2015</v>
      </c>
      <c r="D278" s="9">
        <v>0.33388999938964836</v>
      </c>
      <c r="E278" s="9">
        <v>2.69863078407277E-2</v>
      </c>
      <c r="F278" s="10">
        <v>30130</v>
      </c>
      <c r="G278" s="9"/>
      <c r="H278" s="11">
        <v>51.014946999999999</v>
      </c>
      <c r="I278" s="10">
        <v>1181.418978418126</v>
      </c>
      <c r="J278" s="9"/>
      <c r="K278" s="12"/>
      <c r="L278" s="9">
        <v>3.5459999999999998E-2</v>
      </c>
      <c r="M278" s="12">
        <v>0</v>
      </c>
      <c r="N278" s="10">
        <f t="shared" si="4"/>
        <v>23.158290812653906</v>
      </c>
    </row>
    <row r="279" spans="1:14" x14ac:dyDescent="0.3">
      <c r="A279" t="s">
        <v>63</v>
      </c>
      <c r="B279" t="s">
        <v>64</v>
      </c>
      <c r="C279">
        <v>2016</v>
      </c>
      <c r="D279" s="9">
        <v>0.35293998718261721</v>
      </c>
      <c r="E279" s="9">
        <v>2.6327127440602598E-2</v>
      </c>
      <c r="F279" s="10">
        <v>30850</v>
      </c>
      <c r="G279" s="9"/>
      <c r="H279" s="11">
        <v>51.217803000000004</v>
      </c>
      <c r="I279" s="10">
        <v>1278.744019129882</v>
      </c>
      <c r="J279" s="9">
        <v>8.2608954783907729E-2</v>
      </c>
      <c r="K279" s="12"/>
      <c r="L279" s="9">
        <v>3.6499999999999998E-2</v>
      </c>
      <c r="M279" s="12">
        <v>0</v>
      </c>
      <c r="N279" s="10">
        <f t="shared" si="4"/>
        <v>24.966787800911373</v>
      </c>
    </row>
    <row r="280" spans="1:14" x14ac:dyDescent="0.3">
      <c r="A280" t="s">
        <v>63</v>
      </c>
      <c r="B280" t="s">
        <v>64</v>
      </c>
      <c r="C280">
        <v>2017</v>
      </c>
      <c r="D280" s="9">
        <v>0.34949001312255862</v>
      </c>
      <c r="E280" s="9">
        <v>2.76653311455177E-2</v>
      </c>
      <c r="F280" s="10">
        <v>31940</v>
      </c>
      <c r="G280" s="9"/>
      <c r="H280" s="11">
        <v>51.361910999999999</v>
      </c>
      <c r="I280" s="10">
        <v>3118.4756457762642</v>
      </c>
      <c r="J280" s="9">
        <v>1.439609978689389</v>
      </c>
      <c r="K280" s="12"/>
      <c r="L280" s="9">
        <v>3.653E-2</v>
      </c>
      <c r="M280" s="12">
        <v>0</v>
      </c>
      <c r="N280" s="10">
        <f t="shared" si="4"/>
        <v>60.715724650047861</v>
      </c>
    </row>
    <row r="281" spans="1:14" x14ac:dyDescent="0.3">
      <c r="A281" t="s">
        <v>63</v>
      </c>
      <c r="B281" t="s">
        <v>64</v>
      </c>
      <c r="C281">
        <v>2018</v>
      </c>
      <c r="D281" s="9">
        <v>0.3379700088500977</v>
      </c>
      <c r="E281" s="9">
        <v>2.63510607310041E-2</v>
      </c>
      <c r="F281" s="10">
        <v>34610</v>
      </c>
      <c r="G281" s="9"/>
      <c r="H281" s="11">
        <v>51.585057999999997</v>
      </c>
      <c r="I281" s="10">
        <v>2436.3926665549111</v>
      </c>
      <c r="J281" s="9">
        <v>-0.21776863786412937</v>
      </c>
      <c r="K281" s="12"/>
      <c r="L281" s="9">
        <v>3.8239999999999996E-2</v>
      </c>
      <c r="M281" s="12">
        <v>0</v>
      </c>
      <c r="N281" s="10">
        <f t="shared" si="4"/>
        <v>47.230588876238372</v>
      </c>
    </row>
    <row r="282" spans="1:14" x14ac:dyDescent="0.3">
      <c r="A282" t="s">
        <v>63</v>
      </c>
      <c r="B282" t="s">
        <v>64</v>
      </c>
      <c r="C282">
        <v>2019</v>
      </c>
      <c r="D282" s="9">
        <v>0.332239990234375</v>
      </c>
      <c r="E282" s="9">
        <v>2.76326783155906E-2</v>
      </c>
      <c r="F282" s="10">
        <v>35790</v>
      </c>
      <c r="G282" s="9"/>
      <c r="H282" s="11">
        <v>51.764822000000002</v>
      </c>
      <c r="I282" s="10">
        <v>2111.8774108415382</v>
      </c>
      <c r="J282" s="9">
        <v>-0.13288104761183828</v>
      </c>
      <c r="K282" s="12"/>
      <c r="L282" s="9">
        <v>3.746E-2</v>
      </c>
      <c r="M282" s="12">
        <v>0</v>
      </c>
      <c r="N282" s="10">
        <f t="shared" si="4"/>
        <v>40.797540284047301</v>
      </c>
    </row>
    <row r="283" spans="1:14" x14ac:dyDescent="0.3">
      <c r="A283" t="s">
        <v>63</v>
      </c>
      <c r="B283" t="s">
        <v>64</v>
      </c>
      <c r="C283">
        <v>2020</v>
      </c>
      <c r="D283" s="9">
        <v>0.32729999542236327</v>
      </c>
      <c r="E283" s="9">
        <v>3.08928347444321E-2</v>
      </c>
      <c r="F283" s="10">
        <v>35000</v>
      </c>
      <c r="G283" s="9"/>
      <c r="H283" s="11">
        <v>51.836238999999999</v>
      </c>
      <c r="I283" s="10">
        <v>3106.0937095556601</v>
      </c>
      <c r="J283" s="9">
        <v>0.47462190405634042</v>
      </c>
      <c r="K283" s="12">
        <v>0.49429562841530056</v>
      </c>
      <c r="L283" s="9">
        <v>3.9309999999999998E-2</v>
      </c>
      <c r="M283" s="12">
        <v>0.49429562841530056</v>
      </c>
      <c r="N283" s="10">
        <f t="shared" si="4"/>
        <v>59.92127842368464</v>
      </c>
    </row>
    <row r="284" spans="1:14" x14ac:dyDescent="0.3">
      <c r="A284" t="s">
        <v>63</v>
      </c>
      <c r="B284" t="s">
        <v>64</v>
      </c>
      <c r="C284">
        <v>2021</v>
      </c>
      <c r="D284" s="9">
        <v>0.32976001739501953</v>
      </c>
      <c r="E284" s="9">
        <v>3.13950303314013E-2</v>
      </c>
      <c r="F284" s="10">
        <v>37450</v>
      </c>
      <c r="G284" s="9"/>
      <c r="H284" s="11">
        <v>51.769539000000002</v>
      </c>
      <c r="I284" s="10">
        <v>2790.4512092509308</v>
      </c>
      <c r="J284" s="9">
        <v>-0.10362146247899051</v>
      </c>
      <c r="K284" s="12">
        <v>0.51278657534246574</v>
      </c>
      <c r="L284" s="9">
        <v>3.6389999999999999E-2</v>
      </c>
      <c r="M284" s="12">
        <v>0.51278657534246574</v>
      </c>
      <c r="N284" s="10">
        <f t="shared" si="4"/>
        <v>53.901411199565267</v>
      </c>
    </row>
    <row r="285" spans="1:14" x14ac:dyDescent="0.3">
      <c r="A285" t="s">
        <v>63</v>
      </c>
      <c r="B285" t="s">
        <v>64</v>
      </c>
      <c r="C285">
        <v>2022</v>
      </c>
      <c r="D285" s="9">
        <v>0.32976001739501953</v>
      </c>
      <c r="E285" s="9">
        <v>3.1236882012294898E-2</v>
      </c>
      <c r="F285" s="10">
        <v>38590</v>
      </c>
      <c r="G285" s="9"/>
      <c r="H285" s="11">
        <v>51.672569000000003</v>
      </c>
      <c r="I285" s="10">
        <v>2494.6193372500738</v>
      </c>
      <c r="J285" s="9">
        <v>-0.10757025657558972</v>
      </c>
      <c r="K285" s="12">
        <v>0.21521123287671229</v>
      </c>
      <c r="L285" s="9">
        <v>2.8570000000000002E-2</v>
      </c>
      <c r="M285" s="12">
        <v>0.21521123287671229</v>
      </c>
      <c r="N285" s="10">
        <f t="shared" si="4"/>
        <v>48.277439762092605</v>
      </c>
    </row>
    <row r="286" spans="1:14" x14ac:dyDescent="0.3">
      <c r="A286" t="s">
        <v>63</v>
      </c>
      <c r="B286" t="s">
        <v>64</v>
      </c>
      <c r="C286">
        <v>2023</v>
      </c>
      <c r="D286" s="9"/>
      <c r="E286" s="9">
        <v>3.1292922850729002E-2</v>
      </c>
      <c r="F286" s="10">
        <v>38020</v>
      </c>
      <c r="G286" s="9"/>
      <c r="H286" s="11">
        <v>51.712618999999997</v>
      </c>
      <c r="I286" s="10">
        <v>1891.8892555858811</v>
      </c>
      <c r="J286" s="9">
        <v>-0.24199677528084362</v>
      </c>
      <c r="K286" s="12"/>
      <c r="L286" s="9">
        <v>2.6749999999999999E-2</v>
      </c>
      <c r="M286" s="12">
        <v>0</v>
      </c>
      <c r="N286" s="10">
        <f t="shared" si="4"/>
        <v>36.584672990278854</v>
      </c>
    </row>
    <row r="287" spans="1:14" x14ac:dyDescent="0.3">
      <c r="A287" t="s">
        <v>63</v>
      </c>
      <c r="B287" t="s">
        <v>64</v>
      </c>
      <c r="C287">
        <v>2024</v>
      </c>
      <c r="D287" s="9"/>
      <c r="E287" s="9"/>
      <c r="F287" s="10">
        <v>36750</v>
      </c>
      <c r="G287" s="9"/>
      <c r="H287" s="11">
        <v>51.751064999999997</v>
      </c>
      <c r="I287" s="10">
        <v>1619.16315762215</v>
      </c>
      <c r="J287" s="9">
        <v>-0.1441819884142842</v>
      </c>
      <c r="K287" s="12"/>
      <c r="L287" s="9">
        <v>2.7839999999999997E-2</v>
      </c>
      <c r="M287" s="12">
        <v>0</v>
      </c>
      <c r="N287" s="10">
        <f t="shared" si="4"/>
        <v>31.287533070520386</v>
      </c>
    </row>
    <row r="288" spans="1:14" x14ac:dyDescent="0.3">
      <c r="A288" t="s">
        <v>65</v>
      </c>
      <c r="B288" t="s">
        <v>66</v>
      </c>
      <c r="C288">
        <v>2014</v>
      </c>
      <c r="D288" s="9">
        <v>0.36615001678466796</v>
      </c>
      <c r="E288" s="9">
        <v>3.9843917207078201E-2</v>
      </c>
      <c r="F288" s="10">
        <v>14590</v>
      </c>
      <c r="G288" s="9">
        <v>0.70517600000000003</v>
      </c>
      <c r="H288" s="11">
        <v>144.237223</v>
      </c>
      <c r="J288" s="9"/>
      <c r="K288" s="12"/>
      <c r="L288" s="9">
        <v>5.212E-2</v>
      </c>
      <c r="M288" s="12">
        <v>0</v>
      </c>
      <c r="N288" s="10">
        <f t="shared" si="4"/>
        <v>0</v>
      </c>
    </row>
    <row r="289" spans="1:14" x14ac:dyDescent="0.3">
      <c r="A289" t="s">
        <v>65</v>
      </c>
      <c r="B289" t="s">
        <v>66</v>
      </c>
      <c r="C289">
        <v>2015</v>
      </c>
      <c r="D289" s="9">
        <v>0.36023998260498047</v>
      </c>
      <c r="E289" s="9">
        <v>3.9734943581775199E-2</v>
      </c>
      <c r="F289" s="10">
        <v>11740</v>
      </c>
      <c r="G289" s="9">
        <v>0.70099199999999995</v>
      </c>
      <c r="H289" s="11">
        <v>144.640716</v>
      </c>
      <c r="I289" s="10">
        <v>744.72441646837683</v>
      </c>
      <c r="J289" s="9"/>
      <c r="K289" s="12"/>
      <c r="L289" s="9">
        <v>5.6150000000000005E-2</v>
      </c>
      <c r="M289" s="12">
        <v>0</v>
      </c>
      <c r="N289" s="10">
        <f t="shared" si="4"/>
        <v>5.1487882324115208</v>
      </c>
    </row>
    <row r="290" spans="1:14" x14ac:dyDescent="0.3">
      <c r="A290" t="s">
        <v>65</v>
      </c>
      <c r="B290" t="s">
        <v>66</v>
      </c>
      <c r="C290">
        <v>2016</v>
      </c>
      <c r="D290" s="9">
        <v>0.35544998168945313</v>
      </c>
      <c r="E290" s="9">
        <v>4.0290739086983697E-2</v>
      </c>
      <c r="F290" s="10">
        <v>9680</v>
      </c>
      <c r="G290" s="9">
        <v>0.73091399999999995</v>
      </c>
      <c r="H290" s="11">
        <v>145.01545999999999</v>
      </c>
      <c r="I290" s="10">
        <v>658.91679395127051</v>
      </c>
      <c r="J290" s="9">
        <v>-0.11503330535526468</v>
      </c>
      <c r="K290" s="12"/>
      <c r="L290" s="9">
        <v>5.5910000000000001E-2</v>
      </c>
      <c r="M290" s="12">
        <v>0</v>
      </c>
      <c r="N290" s="10">
        <f t="shared" si="4"/>
        <v>4.5437692915725716</v>
      </c>
    </row>
    <row r="291" spans="1:14" x14ac:dyDescent="0.3">
      <c r="A291" t="s">
        <v>65</v>
      </c>
      <c r="B291" t="s">
        <v>66</v>
      </c>
      <c r="C291">
        <v>2017</v>
      </c>
      <c r="D291" s="9">
        <v>0.35798000335693358</v>
      </c>
      <c r="E291" s="9">
        <v>4.0313585128980402E-2</v>
      </c>
      <c r="F291" s="10">
        <v>9160</v>
      </c>
      <c r="G291" s="9">
        <v>0.76008100000000001</v>
      </c>
      <c r="H291" s="11">
        <v>145.29326</v>
      </c>
      <c r="I291" s="10">
        <v>796.35380259477574</v>
      </c>
      <c r="J291" s="9">
        <v>0.20903017840633731</v>
      </c>
      <c r="K291" s="12"/>
      <c r="L291" s="9">
        <v>5.2380000000000003E-2</v>
      </c>
      <c r="M291" s="12">
        <v>0</v>
      </c>
      <c r="N291" s="10">
        <f t="shared" si="4"/>
        <v>5.4810099422008687</v>
      </c>
    </row>
    <row r="292" spans="1:14" x14ac:dyDescent="0.3">
      <c r="A292" t="s">
        <v>65</v>
      </c>
      <c r="B292" t="s">
        <v>66</v>
      </c>
      <c r="C292">
        <v>2018</v>
      </c>
      <c r="D292" s="9">
        <v>0.34592998504638672</v>
      </c>
      <c r="E292" s="9">
        <v>3.99335954733906E-2</v>
      </c>
      <c r="F292" s="10">
        <v>10180</v>
      </c>
      <c r="G292" s="9">
        <v>0.808647</v>
      </c>
      <c r="H292" s="11">
        <v>145.39810600000001</v>
      </c>
      <c r="I292" s="10">
        <v>1005.1584036568011</v>
      </c>
      <c r="J292" s="9">
        <v>0.26374295364190625</v>
      </c>
      <c r="K292" s="12"/>
      <c r="L292" s="9">
        <v>4.8710000000000003E-2</v>
      </c>
      <c r="M292" s="12">
        <v>0</v>
      </c>
      <c r="N292" s="10">
        <f t="shared" si="4"/>
        <v>6.9131464728763454</v>
      </c>
    </row>
    <row r="293" spans="1:14" x14ac:dyDescent="0.3">
      <c r="A293" t="s">
        <v>65</v>
      </c>
      <c r="B293" t="s">
        <v>66</v>
      </c>
      <c r="C293">
        <v>2019</v>
      </c>
      <c r="D293" s="9">
        <v>0.34633998870849608</v>
      </c>
      <c r="E293" s="9">
        <v>4.0228838499786999E-2</v>
      </c>
      <c r="F293" s="10">
        <v>11190</v>
      </c>
      <c r="G293" s="9">
        <v>0.82642199999999999</v>
      </c>
      <c r="H293" s="11">
        <v>145.45329100000001</v>
      </c>
      <c r="I293" s="10">
        <v>1099.826775190129</v>
      </c>
      <c r="J293" s="9">
        <v>9.4578813405379325E-2</v>
      </c>
      <c r="K293" s="12"/>
      <c r="L293" s="9">
        <v>4.5129999999999997E-2</v>
      </c>
      <c r="M293" s="12">
        <v>0</v>
      </c>
      <c r="N293" s="10">
        <f t="shared" si="4"/>
        <v>7.5613742915595417</v>
      </c>
    </row>
    <row r="294" spans="1:14" x14ac:dyDescent="0.3">
      <c r="A294" t="s">
        <v>65</v>
      </c>
      <c r="B294" t="s">
        <v>66</v>
      </c>
      <c r="C294">
        <v>2020</v>
      </c>
      <c r="D294" s="9">
        <v>0.34955001831054688</v>
      </c>
      <c r="E294" s="9">
        <v>4.72576193621565E-2</v>
      </c>
      <c r="F294" s="10">
        <v>10660</v>
      </c>
      <c r="G294" s="9">
        <v>0.8499469999999999</v>
      </c>
      <c r="H294" s="11">
        <v>145.245148</v>
      </c>
      <c r="I294" s="10">
        <v>1142.9905697698141</v>
      </c>
      <c r="J294" s="9">
        <v>4.1965142252016863E-2</v>
      </c>
      <c r="K294" s="12">
        <v>0.47673196721311478</v>
      </c>
      <c r="L294" s="9">
        <v>5.62E-2</v>
      </c>
      <c r="M294" s="12">
        <v>0.47673196721311478</v>
      </c>
      <c r="N294" s="10">
        <f t="shared" si="4"/>
        <v>7.8693889985902601</v>
      </c>
    </row>
    <row r="295" spans="1:14" x14ac:dyDescent="0.3">
      <c r="A295" t="s">
        <v>65</v>
      </c>
      <c r="B295" t="s">
        <v>66</v>
      </c>
      <c r="C295">
        <v>2021</v>
      </c>
      <c r="D295" s="9">
        <v>0.3306999969482422</v>
      </c>
      <c r="E295" s="9">
        <v>4.7799375077430803E-2</v>
      </c>
      <c r="F295" s="10">
        <v>11710</v>
      </c>
      <c r="G295" s="9">
        <v>0.88213800000000009</v>
      </c>
      <c r="H295" s="11">
        <v>144.74676199999999</v>
      </c>
      <c r="I295" s="10">
        <v>1447.0127772922831</v>
      </c>
      <c r="J295" s="9">
        <v>0.26316850557953564</v>
      </c>
      <c r="K295" s="12">
        <v>0.46464876712328768</v>
      </c>
      <c r="L295" s="9">
        <v>4.7489999999999997E-2</v>
      </c>
      <c r="M295" s="12">
        <v>0.46464876712328768</v>
      </c>
      <c r="N295" s="10">
        <f t="shared" si="4"/>
        <v>9.9968576657506389</v>
      </c>
    </row>
    <row r="296" spans="1:14" x14ac:dyDescent="0.3">
      <c r="A296" t="s">
        <v>65</v>
      </c>
      <c r="B296" t="s">
        <v>66</v>
      </c>
      <c r="C296">
        <v>2022</v>
      </c>
      <c r="D296" s="9">
        <v>0.34178001403808589</v>
      </c>
      <c r="E296" s="9">
        <v>4.8564349141180602E-2</v>
      </c>
      <c r="F296" s="10">
        <v>12890</v>
      </c>
      <c r="G296" s="9">
        <v>0.90418000000000009</v>
      </c>
      <c r="H296" s="11">
        <v>144.23693299999999</v>
      </c>
      <c r="I296" s="10">
        <v>1585.7929174218141</v>
      </c>
      <c r="J296" s="9">
        <v>9.4002445850696503E-2</v>
      </c>
      <c r="K296" s="12">
        <v>0.2949471232876712</v>
      </c>
      <c r="L296" s="9">
        <v>3.8670000000000003E-2</v>
      </c>
      <c r="M296" s="12">
        <v>0.2949471232876712</v>
      </c>
      <c r="N296" s="10">
        <f t="shared" si="4"/>
        <v>10.994361044974619</v>
      </c>
    </row>
    <row r="297" spans="1:14" x14ac:dyDescent="0.3">
      <c r="A297" t="s">
        <v>65</v>
      </c>
      <c r="B297" t="s">
        <v>66</v>
      </c>
      <c r="C297">
        <v>2023</v>
      </c>
      <c r="D297" s="9"/>
      <c r="E297" s="9">
        <v>4.9052087377094898E-2</v>
      </c>
      <c r="F297" s="10">
        <v>14460</v>
      </c>
      <c r="G297" s="9">
        <v>0.92244999999999999</v>
      </c>
      <c r="H297" s="11">
        <v>143.82613000000001</v>
      </c>
      <c r="I297" s="10">
        <v>1506.604119727084</v>
      </c>
      <c r="J297" s="9">
        <v>-5.0418371504024062E-2</v>
      </c>
      <c r="K297" s="12"/>
      <c r="L297" s="9">
        <v>3.0759999999999999E-2</v>
      </c>
      <c r="M297" s="12">
        <v>0</v>
      </c>
      <c r="N297" s="10">
        <f t="shared" si="4"/>
        <v>10.475176657587074</v>
      </c>
    </row>
    <row r="298" spans="1:14" x14ac:dyDescent="0.3">
      <c r="A298" t="s">
        <v>65</v>
      </c>
      <c r="B298" t="s">
        <v>66</v>
      </c>
      <c r="C298">
        <v>2024</v>
      </c>
      <c r="D298" s="9"/>
      <c r="E298" s="9"/>
      <c r="F298" s="10">
        <v>15320</v>
      </c>
      <c r="G298" s="9">
        <v>0.94364999999999999</v>
      </c>
      <c r="H298" s="11">
        <v>143.533851</v>
      </c>
      <c r="I298" s="10">
        <v>1442.7829481598969</v>
      </c>
      <c r="J298" s="9">
        <v>-4.2390667116665059E-2</v>
      </c>
      <c r="K298" s="12"/>
      <c r="L298" s="9">
        <v>2.4300000000000002E-2</v>
      </c>
      <c r="M298" s="12">
        <v>0</v>
      </c>
      <c r="N298" s="10">
        <f t="shared" si="4"/>
        <v>10.051865383030076</v>
      </c>
    </row>
    <row r="299" spans="1:14" x14ac:dyDescent="0.3">
      <c r="A299" t="s">
        <v>67</v>
      </c>
      <c r="B299" t="s">
        <v>68</v>
      </c>
      <c r="C299">
        <v>2014</v>
      </c>
      <c r="D299" s="9">
        <v>0.37284000396728523</v>
      </c>
      <c r="E299" s="9">
        <v>3.71183480793486E-2</v>
      </c>
      <c r="F299" s="10">
        <v>29080</v>
      </c>
      <c r="G299" s="9">
        <v>0.64713700000000007</v>
      </c>
      <c r="H299" s="11">
        <v>28.309273000000001</v>
      </c>
      <c r="J299" s="9"/>
      <c r="K299" s="12"/>
      <c r="L299" s="9">
        <v>5.8769999999999996E-2</v>
      </c>
      <c r="M299" s="12">
        <v>0</v>
      </c>
      <c r="N299" s="10">
        <f t="shared" si="4"/>
        <v>0</v>
      </c>
    </row>
    <row r="300" spans="1:14" x14ac:dyDescent="0.3">
      <c r="A300" t="s">
        <v>67</v>
      </c>
      <c r="B300" t="s">
        <v>68</v>
      </c>
      <c r="C300">
        <v>2015</v>
      </c>
      <c r="D300" s="9">
        <v>0.37229000091552727</v>
      </c>
      <c r="E300" s="9">
        <v>3.7459096277402099E-2</v>
      </c>
      <c r="F300" s="10">
        <v>26580</v>
      </c>
      <c r="G300" s="9">
        <v>0.69616200000000006</v>
      </c>
      <c r="H300" s="11">
        <v>29.816382000000001</v>
      </c>
      <c r="I300" s="10">
        <v>261.26070172923761</v>
      </c>
      <c r="J300" s="9"/>
      <c r="K300" s="12"/>
      <c r="L300" s="9">
        <v>5.5999999999999994E-2</v>
      </c>
      <c r="M300" s="12">
        <v>0</v>
      </c>
      <c r="N300" s="10">
        <f t="shared" si="4"/>
        <v>8.7623207178267837</v>
      </c>
    </row>
    <row r="301" spans="1:14" x14ac:dyDescent="0.3">
      <c r="A301" t="s">
        <v>67</v>
      </c>
      <c r="B301" t="s">
        <v>68</v>
      </c>
      <c r="C301">
        <v>2016</v>
      </c>
      <c r="D301" s="9">
        <v>0.36462001800537108</v>
      </c>
      <c r="E301" s="9">
        <v>3.8273586213305601E-2</v>
      </c>
      <c r="F301" s="10">
        <v>23940</v>
      </c>
      <c r="G301" s="9">
        <v>0.74879300000000004</v>
      </c>
      <c r="H301" s="11">
        <v>30.954198000000002</v>
      </c>
      <c r="I301" s="10">
        <v>273.92985789529439</v>
      </c>
      <c r="J301" s="9">
        <v>4.8714386726997905E-2</v>
      </c>
      <c r="K301" s="12"/>
      <c r="L301" s="9">
        <v>5.5999999999999994E-2</v>
      </c>
      <c r="M301" s="12">
        <v>0</v>
      </c>
      <c r="N301" s="10">
        <f t="shared" si="4"/>
        <v>8.849522054982474</v>
      </c>
    </row>
    <row r="302" spans="1:14" x14ac:dyDescent="0.3">
      <c r="A302" t="s">
        <v>67</v>
      </c>
      <c r="B302" t="s">
        <v>68</v>
      </c>
      <c r="C302">
        <v>2017</v>
      </c>
      <c r="D302" s="9">
        <v>0.35669998168945311</v>
      </c>
      <c r="E302" s="9">
        <v>3.8546106739895801E-2</v>
      </c>
      <c r="F302" s="10">
        <v>23130</v>
      </c>
      <c r="G302" s="9">
        <v>0.94175600000000004</v>
      </c>
      <c r="H302" s="11">
        <v>30.977354999999999</v>
      </c>
      <c r="I302" s="10">
        <v>295.95978895726802</v>
      </c>
      <c r="J302" s="9">
        <v>8.0824041909998368E-2</v>
      </c>
      <c r="K302" s="12"/>
      <c r="L302" s="9">
        <v>5.8899999999999994E-2</v>
      </c>
      <c r="M302" s="12">
        <v>0</v>
      </c>
      <c r="N302" s="10">
        <f t="shared" si="4"/>
        <v>9.5540690597137168</v>
      </c>
    </row>
    <row r="303" spans="1:14" x14ac:dyDescent="0.3">
      <c r="A303" t="s">
        <v>67</v>
      </c>
      <c r="B303" t="s">
        <v>68</v>
      </c>
      <c r="C303">
        <v>2018</v>
      </c>
      <c r="D303" s="9">
        <v>0.35287998199462889</v>
      </c>
      <c r="E303" s="9">
        <v>3.8518220067671E-2</v>
      </c>
      <c r="F303" s="10">
        <v>26570</v>
      </c>
      <c r="G303" s="9">
        <v>0.93310000000000004</v>
      </c>
      <c r="H303" s="11">
        <v>30.196280999999999</v>
      </c>
      <c r="I303" s="10">
        <v>416.60167969211102</v>
      </c>
      <c r="J303" s="9">
        <v>0.40934917299605011</v>
      </c>
      <c r="K303" s="12"/>
      <c r="L303" s="9">
        <v>6.0289999999999996E-2</v>
      </c>
      <c r="M303" s="12">
        <v>0</v>
      </c>
      <c r="N303" s="10">
        <f t="shared" si="4"/>
        <v>13.796456579938139</v>
      </c>
    </row>
    <row r="304" spans="1:14" x14ac:dyDescent="0.3">
      <c r="A304" t="s">
        <v>67</v>
      </c>
      <c r="B304" t="s">
        <v>68</v>
      </c>
      <c r="C304">
        <v>2019</v>
      </c>
      <c r="D304" s="9">
        <v>0.34674999237060544</v>
      </c>
      <c r="E304" s="9">
        <v>3.8378315839902102E-2</v>
      </c>
      <c r="F304" s="10">
        <v>29140</v>
      </c>
      <c r="G304" s="9">
        <v>0.95724699999999996</v>
      </c>
      <c r="H304" s="11">
        <v>30.063798999999999</v>
      </c>
      <c r="I304" s="10">
        <v>467.52093162036277</v>
      </c>
      <c r="J304" s="9">
        <v>0.12263169744348201</v>
      </c>
      <c r="K304" s="12"/>
      <c r="L304" s="9">
        <v>5.636E-2</v>
      </c>
      <c r="M304" s="12">
        <v>0</v>
      </c>
      <c r="N304" s="10">
        <f t="shared" si="4"/>
        <v>15.550959864399132</v>
      </c>
    </row>
    <row r="305" spans="1:14" x14ac:dyDescent="0.3">
      <c r="A305" t="s">
        <v>67</v>
      </c>
      <c r="B305" t="s">
        <v>68</v>
      </c>
      <c r="C305">
        <v>2020</v>
      </c>
      <c r="D305" s="9">
        <v>0.34546001434326173</v>
      </c>
      <c r="E305" s="9">
        <v>4.4038337567306601E-2</v>
      </c>
      <c r="F305" s="10">
        <v>26940</v>
      </c>
      <c r="G305" s="9">
        <v>0.97862300000000002</v>
      </c>
      <c r="H305" s="11">
        <v>31.552510000000002</v>
      </c>
      <c r="I305" s="10">
        <v>473.75095863422848</v>
      </c>
      <c r="J305" s="9">
        <v>1.5976993426360941E-2</v>
      </c>
      <c r="K305" s="12">
        <v>0.57214234972677591</v>
      </c>
      <c r="L305" s="9">
        <v>7.6600000000000001E-2</v>
      </c>
      <c r="M305" s="12">
        <v>0.57214234972677591</v>
      </c>
      <c r="N305" s="10">
        <f t="shared" si="4"/>
        <v>15.01468373306049</v>
      </c>
    </row>
    <row r="306" spans="1:14" x14ac:dyDescent="0.3">
      <c r="A306" t="s">
        <v>67</v>
      </c>
      <c r="B306" t="s">
        <v>68</v>
      </c>
      <c r="C306">
        <v>2021</v>
      </c>
      <c r="D306" s="9">
        <v>0.34529998779296883</v>
      </c>
      <c r="E306" s="9">
        <v>4.6019038473529901E-2</v>
      </c>
      <c r="F306" s="10">
        <v>30480</v>
      </c>
      <c r="G306" s="9">
        <v>1</v>
      </c>
      <c r="H306" s="11">
        <v>30.784382999999998</v>
      </c>
      <c r="I306" s="10">
        <v>607.58266648114147</v>
      </c>
      <c r="J306" s="9">
        <v>0.27963716195207899</v>
      </c>
      <c r="K306" s="12">
        <v>0.53476438356164391</v>
      </c>
      <c r="L306" s="9">
        <v>6.6210000000000005E-2</v>
      </c>
      <c r="M306" s="12">
        <v>0.53476438356164391</v>
      </c>
      <c r="N306" s="10">
        <f t="shared" si="4"/>
        <v>19.736717363513229</v>
      </c>
    </row>
    <row r="307" spans="1:14" x14ac:dyDescent="0.3">
      <c r="A307" t="s">
        <v>67</v>
      </c>
      <c r="B307" t="s">
        <v>68</v>
      </c>
      <c r="C307">
        <v>2022</v>
      </c>
      <c r="D307" s="9">
        <v>0.34509998321533203</v>
      </c>
      <c r="E307" s="9">
        <v>4.2085641759308498E-2</v>
      </c>
      <c r="F307" s="10">
        <v>35110</v>
      </c>
      <c r="G307" s="9">
        <v>1</v>
      </c>
      <c r="H307" s="11">
        <v>32.175224</v>
      </c>
      <c r="I307" s="10">
        <v>722.89947867866499</v>
      </c>
      <c r="J307" s="9">
        <v>0.18772725147993263</v>
      </c>
      <c r="K307" s="12">
        <v>0.25991397260273968</v>
      </c>
      <c r="L307" s="9">
        <v>5.5890000000000002E-2</v>
      </c>
      <c r="M307" s="12">
        <v>0.25991397260273968</v>
      </c>
      <c r="N307" s="10">
        <f t="shared" si="4"/>
        <v>22.467581847407342</v>
      </c>
    </row>
    <row r="308" spans="1:14" x14ac:dyDescent="0.3">
      <c r="A308" t="s">
        <v>67</v>
      </c>
      <c r="B308" t="s">
        <v>68</v>
      </c>
      <c r="C308">
        <v>2023</v>
      </c>
      <c r="D308" s="9"/>
      <c r="E308" s="9">
        <v>4.5027398950866597E-2</v>
      </c>
      <c r="F308" s="10">
        <v>36330</v>
      </c>
      <c r="G308" s="9">
        <v>1</v>
      </c>
      <c r="H308" s="11">
        <v>33.702731</v>
      </c>
      <c r="I308" s="10">
        <v>709.20826749828711</v>
      </c>
      <c r="J308" s="9">
        <v>-1.9436992598184433E-2</v>
      </c>
      <c r="K308" s="12"/>
      <c r="L308" s="9">
        <v>4.0079999999999998E-2</v>
      </c>
      <c r="M308" s="12">
        <v>0</v>
      </c>
      <c r="N308" s="10">
        <f t="shared" si="4"/>
        <v>21.043050413282149</v>
      </c>
    </row>
    <row r="309" spans="1:14" x14ac:dyDescent="0.3">
      <c r="A309" t="s">
        <v>67</v>
      </c>
      <c r="B309" t="s">
        <v>68</v>
      </c>
      <c r="C309">
        <v>2024</v>
      </c>
      <c r="D309" s="9"/>
      <c r="E309" s="9"/>
      <c r="F309" s="10">
        <v>35630</v>
      </c>
      <c r="G309" s="9">
        <v>1</v>
      </c>
      <c r="H309" s="11">
        <v>35.300280000000001</v>
      </c>
      <c r="I309" s="10">
        <v>713.15251723418567</v>
      </c>
      <c r="J309" s="9">
        <v>5.5302716677307906E-3</v>
      </c>
      <c r="K309" s="12"/>
      <c r="L309" s="9">
        <v>3.5179999999999996E-2</v>
      </c>
      <c r="M309" s="12">
        <v>0</v>
      </c>
      <c r="N309" s="10">
        <f t="shared" si="4"/>
        <v>20.202460638674413</v>
      </c>
    </row>
    <row r="310" spans="1:14" x14ac:dyDescent="0.3">
      <c r="A310" t="s">
        <v>69</v>
      </c>
      <c r="B310" t="s">
        <v>70</v>
      </c>
      <c r="C310">
        <v>2014</v>
      </c>
      <c r="D310" s="9">
        <v>0.40236000061035165</v>
      </c>
      <c r="E310" s="9">
        <v>1.7724386944481099E-2</v>
      </c>
      <c r="F310" s="10">
        <v>56380</v>
      </c>
      <c r="G310" s="9">
        <v>0.79029199999999999</v>
      </c>
      <c r="H310" s="11">
        <v>5.4697240000000003</v>
      </c>
      <c r="J310" s="9"/>
      <c r="K310" s="12"/>
      <c r="L310" s="9">
        <v>3.7400000000000003E-2</v>
      </c>
      <c r="M310" s="12">
        <v>0</v>
      </c>
      <c r="N310" s="10">
        <f t="shared" si="4"/>
        <v>0</v>
      </c>
    </row>
    <row r="311" spans="1:14" x14ac:dyDescent="0.3">
      <c r="A311" t="s">
        <v>69</v>
      </c>
      <c r="B311" t="s">
        <v>70</v>
      </c>
      <c r="C311">
        <v>2015</v>
      </c>
      <c r="D311" s="9">
        <v>0.40236000061035165</v>
      </c>
      <c r="E311" s="9">
        <v>1.7766355820568801E-2</v>
      </c>
      <c r="F311" s="10">
        <v>53160</v>
      </c>
      <c r="G311" s="9">
        <v>0.79013</v>
      </c>
      <c r="H311" s="11">
        <v>5.5350020000000004</v>
      </c>
      <c r="I311" s="10">
        <v>116.5058395414042</v>
      </c>
      <c r="J311" s="9"/>
      <c r="K311" s="12"/>
      <c r="L311" s="9">
        <v>3.7900000000000003E-2</v>
      </c>
      <c r="M311" s="12">
        <v>0</v>
      </c>
      <c r="N311" s="10">
        <f t="shared" si="4"/>
        <v>21.048924560714557</v>
      </c>
    </row>
    <row r="312" spans="1:14" x14ac:dyDescent="0.3">
      <c r="A312" t="s">
        <v>69</v>
      </c>
      <c r="B312" t="s">
        <v>70</v>
      </c>
      <c r="C312">
        <v>2016</v>
      </c>
      <c r="D312" s="9">
        <v>0.40236000061035165</v>
      </c>
      <c r="E312" s="9">
        <v>1.7821864143471099E-2</v>
      </c>
      <c r="F312" s="10">
        <v>53470</v>
      </c>
      <c r="G312" s="9">
        <v>0.84452299999999991</v>
      </c>
      <c r="H312" s="11">
        <v>5.6072829999999998</v>
      </c>
      <c r="I312" s="10">
        <v>122.361987417964</v>
      </c>
      <c r="J312" s="9">
        <v>5.0487214988188756E-2</v>
      </c>
      <c r="K312" s="12"/>
      <c r="L312" s="9">
        <v>4.0800000000000003E-2</v>
      </c>
      <c r="M312" s="12">
        <v>0</v>
      </c>
      <c r="N312" s="10">
        <f t="shared" si="4"/>
        <v>21.821974638691145</v>
      </c>
    </row>
    <row r="313" spans="1:14" x14ac:dyDescent="0.3">
      <c r="A313" t="s">
        <v>69</v>
      </c>
      <c r="B313" t="s">
        <v>70</v>
      </c>
      <c r="C313">
        <v>2017</v>
      </c>
      <c r="D313" s="9">
        <v>0.40236000061035165</v>
      </c>
      <c r="E313" s="9">
        <v>1.7912810312618599E-2</v>
      </c>
      <c r="F313" s="10">
        <v>55230</v>
      </c>
      <c r="G313" s="9">
        <v>0.84452299999999991</v>
      </c>
      <c r="H313" s="11">
        <v>5.6122529999999999</v>
      </c>
      <c r="I313" s="10">
        <v>141.25634614622891</v>
      </c>
      <c r="J313" s="9">
        <v>0.15484342437688792</v>
      </c>
      <c r="K313" s="12"/>
      <c r="L313" s="9">
        <v>4.2000000000000003E-2</v>
      </c>
      <c r="M313" s="12">
        <v>0</v>
      </c>
      <c r="N313" s="10">
        <f t="shared" si="4"/>
        <v>25.169276250772892</v>
      </c>
    </row>
    <row r="314" spans="1:14" x14ac:dyDescent="0.3">
      <c r="A314" t="s">
        <v>69</v>
      </c>
      <c r="B314" t="s">
        <v>70</v>
      </c>
      <c r="C314">
        <v>2018</v>
      </c>
      <c r="D314" s="9">
        <v>0.40236000061035165</v>
      </c>
      <c r="E314" s="9">
        <v>1.8005312211535E-2</v>
      </c>
      <c r="F314" s="10">
        <v>56360</v>
      </c>
      <c r="G314" s="9">
        <v>0.881656</v>
      </c>
      <c r="H314" s="11">
        <v>5.6386760000000002</v>
      </c>
      <c r="I314" s="10">
        <v>186.1378334431993</v>
      </c>
      <c r="J314" s="9">
        <v>0.31934077168316155</v>
      </c>
      <c r="K314" s="12"/>
      <c r="L314" s="9">
        <v>3.6130000000000002E-2</v>
      </c>
      <c r="M314" s="12">
        <v>0</v>
      </c>
      <c r="N314" s="10">
        <f t="shared" si="4"/>
        <v>33.010911327978285</v>
      </c>
    </row>
    <row r="315" spans="1:14" x14ac:dyDescent="0.3">
      <c r="A315" t="s">
        <v>69</v>
      </c>
      <c r="B315" t="s">
        <v>70</v>
      </c>
      <c r="C315">
        <v>2019</v>
      </c>
      <c r="D315" s="9">
        <v>0.40236000061035165</v>
      </c>
      <c r="E315" s="9">
        <v>1.8078675202902902E-2</v>
      </c>
      <c r="F315" s="10">
        <v>58430</v>
      </c>
      <c r="G315" s="9">
        <v>0.88949299999999998</v>
      </c>
      <c r="H315" s="11">
        <v>5.7035689999999999</v>
      </c>
      <c r="I315" s="10">
        <v>209.045778163855</v>
      </c>
      <c r="J315" s="9">
        <v>0.12347652883136884</v>
      </c>
      <c r="K315" s="12"/>
      <c r="L315" s="9">
        <v>3.1E-2</v>
      </c>
      <c r="M315" s="12">
        <v>0</v>
      </c>
      <c r="N315" s="10">
        <f t="shared" si="4"/>
        <v>36.651748784639061</v>
      </c>
    </row>
    <row r="316" spans="1:14" x14ac:dyDescent="0.3">
      <c r="A316" t="s">
        <v>69</v>
      </c>
      <c r="B316" t="s">
        <v>70</v>
      </c>
      <c r="C316">
        <v>2020</v>
      </c>
      <c r="D316" s="9">
        <v>0.40236000061035165</v>
      </c>
      <c r="E316" s="9">
        <v>1.9567125288211501E-2</v>
      </c>
      <c r="F316" s="10">
        <v>55780</v>
      </c>
      <c r="G316" s="9">
        <v>0.92004300000000006</v>
      </c>
      <c r="H316" s="11">
        <v>5.6858069999999996</v>
      </c>
      <c r="I316" s="10">
        <v>231.14000795524299</v>
      </c>
      <c r="J316" s="9">
        <v>0.10858386742380044</v>
      </c>
      <c r="K316" s="12">
        <v>0.51490601092896182</v>
      </c>
      <c r="L316" s="9">
        <v>4.0999999999999995E-2</v>
      </c>
      <c r="M316" s="12">
        <v>0.51490601092896182</v>
      </c>
      <c r="N316" s="10">
        <f t="shared" si="4"/>
        <v>40.652102323424451</v>
      </c>
    </row>
    <row r="317" spans="1:14" x14ac:dyDescent="0.3">
      <c r="A317" t="s">
        <v>69</v>
      </c>
      <c r="B317" t="s">
        <v>70</v>
      </c>
      <c r="C317">
        <v>2021</v>
      </c>
      <c r="D317" s="9">
        <v>0.40236000061035165</v>
      </c>
      <c r="E317" s="9">
        <v>2.07459160878854E-2</v>
      </c>
      <c r="F317" s="10">
        <v>65010</v>
      </c>
      <c r="G317" s="9">
        <v>0.96924699999999997</v>
      </c>
      <c r="H317" s="11">
        <v>5.4535660000000004</v>
      </c>
      <c r="I317" s="10">
        <v>346.59633353112241</v>
      </c>
      <c r="J317" s="9">
        <v>0.49616816773744365</v>
      </c>
      <c r="K317" s="12">
        <v>0.49171616438356158</v>
      </c>
      <c r="L317" s="9">
        <v>4.6399999999999997E-2</v>
      </c>
      <c r="M317" s="12">
        <v>0.49171616438356158</v>
      </c>
      <c r="N317" s="10">
        <f t="shared" si="4"/>
        <v>63.554073340475277</v>
      </c>
    </row>
    <row r="318" spans="1:14" x14ac:dyDescent="0.3">
      <c r="A318" t="s">
        <v>69</v>
      </c>
      <c r="B318" t="s">
        <v>70</v>
      </c>
      <c r="C318">
        <v>2022</v>
      </c>
      <c r="D318" s="9">
        <v>0.40236000061035165</v>
      </c>
      <c r="E318" s="9">
        <v>2.0008741804680801E-2</v>
      </c>
      <c r="F318" s="10">
        <v>66910</v>
      </c>
      <c r="G318" s="9">
        <v>0.95953900000000003</v>
      </c>
      <c r="H318" s="11">
        <v>5.637022</v>
      </c>
      <c r="I318" s="10">
        <v>343.45300857275498</v>
      </c>
      <c r="J318" s="9">
        <v>-1.0792168595748275E-2</v>
      </c>
      <c r="K318" s="12">
        <v>0.3007717808219178</v>
      </c>
      <c r="L318" s="9">
        <v>3.5910000000000004E-2</v>
      </c>
      <c r="M318" s="12">
        <v>0.3007717808219178</v>
      </c>
      <c r="N318" s="10">
        <f t="shared" si="4"/>
        <v>60.928094403881161</v>
      </c>
    </row>
    <row r="319" spans="1:14" x14ac:dyDescent="0.3">
      <c r="A319" t="s">
        <v>69</v>
      </c>
      <c r="B319" t="s">
        <v>70</v>
      </c>
      <c r="C319">
        <v>2023</v>
      </c>
      <c r="D319" s="9"/>
      <c r="E319" s="9">
        <v>2.02142103157377E-2</v>
      </c>
      <c r="F319" s="10">
        <v>69850</v>
      </c>
      <c r="G319" s="9">
        <v>0.94285200000000002</v>
      </c>
      <c r="H319" s="11">
        <v>5.9176479999999998</v>
      </c>
      <c r="I319" s="10">
        <v>362.08840195121252</v>
      </c>
      <c r="J319" s="9">
        <v>5.3724107340010097E-2</v>
      </c>
      <c r="K319" s="12"/>
      <c r="L319" s="9">
        <v>3.4439999999999998E-2</v>
      </c>
      <c r="M319" s="12">
        <v>0</v>
      </c>
      <c r="N319" s="10">
        <f t="shared" si="4"/>
        <v>61.187891194476677</v>
      </c>
    </row>
    <row r="320" spans="1:14" x14ac:dyDescent="0.3">
      <c r="A320" t="s">
        <v>69</v>
      </c>
      <c r="B320" t="s">
        <v>70</v>
      </c>
      <c r="C320">
        <v>2024</v>
      </c>
      <c r="D320" s="9"/>
      <c r="E320" s="9"/>
      <c r="F320" s="10">
        <v>74750</v>
      </c>
      <c r="G320" s="9">
        <v>0.94377600000000006</v>
      </c>
      <c r="H320" s="11">
        <v>6.0368599999999999</v>
      </c>
      <c r="I320" s="10">
        <v>374.19327829647398</v>
      </c>
      <c r="J320" s="9">
        <v>3.3398644630371788E-2</v>
      </c>
      <c r="K320" s="12"/>
      <c r="L320" s="9">
        <v>2.7370000000000002E-2</v>
      </c>
      <c r="M320" s="12">
        <v>0</v>
      </c>
      <c r="N320" s="10">
        <f t="shared" si="4"/>
        <v>61.984753381140855</v>
      </c>
    </row>
    <row r="321" spans="1:14" x14ac:dyDescent="0.3">
      <c r="A321" t="s">
        <v>71</v>
      </c>
      <c r="B321" t="s">
        <v>72</v>
      </c>
      <c r="C321">
        <v>2014</v>
      </c>
      <c r="D321" s="9">
        <v>0.6706400299072266</v>
      </c>
      <c r="E321" s="9">
        <v>3.1256496865292999E-2</v>
      </c>
      <c r="F321" s="10">
        <v>7230</v>
      </c>
      <c r="G321" s="9">
        <v>0.49</v>
      </c>
      <c r="H321" s="11">
        <v>55.594838000000003</v>
      </c>
      <c r="J321" s="9"/>
      <c r="K321" s="12"/>
      <c r="L321" s="9">
        <v>0.24890000000000001</v>
      </c>
      <c r="M321" s="12">
        <v>0</v>
      </c>
      <c r="N321" s="10">
        <f t="shared" si="4"/>
        <v>0</v>
      </c>
    </row>
    <row r="322" spans="1:14" x14ac:dyDescent="0.3">
      <c r="A322" t="s">
        <v>71</v>
      </c>
      <c r="B322" t="s">
        <v>72</v>
      </c>
      <c r="C322">
        <v>2015</v>
      </c>
      <c r="D322" s="9">
        <v>0.67275001525878908</v>
      </c>
      <c r="E322" s="9">
        <v>3.1402348270330699E-2</v>
      </c>
      <c r="F322" s="10">
        <v>6450</v>
      </c>
      <c r="G322" s="9">
        <v>0.51919099999999996</v>
      </c>
      <c r="H322" s="11">
        <v>56.723537</v>
      </c>
      <c r="I322" s="10">
        <v>121.8843679527838</v>
      </c>
      <c r="J322" s="9"/>
      <c r="K322" s="12"/>
      <c r="L322" s="9">
        <v>0.25148999999999999</v>
      </c>
      <c r="M322" s="12">
        <v>0</v>
      </c>
      <c r="N322" s="10">
        <f t="shared" si="4"/>
        <v>2.1487441439482837</v>
      </c>
    </row>
    <row r="323" spans="1:14" x14ac:dyDescent="0.3">
      <c r="A323" t="s">
        <v>71</v>
      </c>
      <c r="B323" t="s">
        <v>72</v>
      </c>
      <c r="C323">
        <v>2016</v>
      </c>
      <c r="D323" s="9">
        <v>0.67097000122070316</v>
      </c>
      <c r="E323" s="9">
        <v>3.16357107987736E-2</v>
      </c>
      <c r="F323" s="10">
        <v>5880</v>
      </c>
      <c r="G323" s="9">
        <v>0.54</v>
      </c>
      <c r="H323" s="11">
        <v>57.259551000000002</v>
      </c>
      <c r="I323" s="10">
        <v>139.69269708400449</v>
      </c>
      <c r="J323" s="9">
        <v>0.14635105652785474</v>
      </c>
      <c r="K323" s="12"/>
      <c r="L323" s="9">
        <v>0.26536000000000004</v>
      </c>
      <c r="M323" s="12">
        <v>0</v>
      </c>
      <c r="N323" s="10">
        <f t="shared" si="4"/>
        <v>2.439640106224453</v>
      </c>
    </row>
    <row r="324" spans="1:14" x14ac:dyDescent="0.3">
      <c r="A324" t="s">
        <v>71</v>
      </c>
      <c r="B324" t="s">
        <v>72</v>
      </c>
      <c r="C324">
        <v>2017</v>
      </c>
      <c r="D324" s="9">
        <v>0.66918998718261724</v>
      </c>
      <c r="E324" s="9">
        <v>3.1764402255147699E-2</v>
      </c>
      <c r="F324" s="10">
        <v>5850</v>
      </c>
      <c r="G324" s="9">
        <v>0.56167400000000001</v>
      </c>
      <c r="H324" s="11">
        <v>57.635162000000001</v>
      </c>
      <c r="I324" s="10">
        <v>135.62015375637469</v>
      </c>
      <c r="J324" s="9">
        <v>-2.8792137141235408E-2</v>
      </c>
      <c r="K324" s="12"/>
      <c r="L324" s="9">
        <v>0.27034999999999998</v>
      </c>
      <c r="M324" s="12">
        <v>0</v>
      </c>
      <c r="N324" s="10">
        <f t="shared" si="4"/>
        <v>2.3530801172446552</v>
      </c>
    </row>
    <row r="325" spans="1:14" x14ac:dyDescent="0.3">
      <c r="A325" t="s">
        <v>71</v>
      </c>
      <c r="B325" t="s">
        <v>72</v>
      </c>
      <c r="C325">
        <v>2018</v>
      </c>
      <c r="D325" s="9">
        <v>0.66918998718261724</v>
      </c>
      <c r="E325" s="9">
        <v>3.2004363717471597E-2</v>
      </c>
      <c r="F325" s="10">
        <v>6250</v>
      </c>
      <c r="G325" s="9">
        <v>0.624</v>
      </c>
      <c r="H325" s="11">
        <v>58.613000999999997</v>
      </c>
      <c r="I325" s="10">
        <v>198.55538319484819</v>
      </c>
      <c r="J325" s="9">
        <v>0.46584392321369794</v>
      </c>
      <c r="K325" s="12"/>
      <c r="L325" s="9">
        <v>0.26905999999999997</v>
      </c>
      <c r="M325" s="12">
        <v>0</v>
      </c>
      <c r="N325" s="10">
        <f t="shared" si="4"/>
        <v>3.3875655538410019</v>
      </c>
    </row>
    <row r="326" spans="1:14" x14ac:dyDescent="0.3">
      <c r="A326" t="s">
        <v>71</v>
      </c>
      <c r="B326" t="s">
        <v>72</v>
      </c>
      <c r="C326">
        <v>2019</v>
      </c>
      <c r="D326" s="9">
        <v>0.66918998718261724</v>
      </c>
      <c r="E326" s="9">
        <v>3.2166343498868398E-2</v>
      </c>
      <c r="F326" s="10">
        <v>6570</v>
      </c>
      <c r="G326" s="9">
        <v>0.69696899999999995</v>
      </c>
      <c r="H326" s="11">
        <v>59.587885</v>
      </c>
      <c r="I326" s="10">
        <v>217.03034198778789</v>
      </c>
      <c r="J326" s="9">
        <v>9.3442741528271478E-2</v>
      </c>
      <c r="K326" s="12"/>
      <c r="L326" s="9">
        <v>0.28467999999999999</v>
      </c>
      <c r="M326" s="12">
        <v>0</v>
      </c>
      <c r="N326" s="10">
        <f t="shared" si="4"/>
        <v>3.6421890454374726</v>
      </c>
    </row>
    <row r="327" spans="1:14" x14ac:dyDescent="0.3">
      <c r="A327" t="s">
        <v>71</v>
      </c>
      <c r="B327" t="s">
        <v>72</v>
      </c>
      <c r="C327">
        <v>2020</v>
      </c>
      <c r="D327" s="9">
        <v>0.66918998718261724</v>
      </c>
      <c r="E327" s="9">
        <v>3.91080357182918E-2</v>
      </c>
      <c r="F327" s="10">
        <v>5930</v>
      </c>
      <c r="G327" s="9">
        <v>0.72112799999999988</v>
      </c>
      <c r="H327" s="11">
        <v>60.562381000000002</v>
      </c>
      <c r="I327" s="10">
        <v>218.84627367903369</v>
      </c>
      <c r="J327" s="9">
        <v>1.1005534245627668E-2</v>
      </c>
      <c r="K327" s="12">
        <v>0.54488169398907094</v>
      </c>
      <c r="L327" s="9">
        <v>0.29216999999999999</v>
      </c>
      <c r="M327" s="12">
        <v>0.54488169398907094</v>
      </c>
      <c r="N327" s="10">
        <f t="shared" ref="N327:N390" si="5">I327/H327</f>
        <v>3.6135678628459749</v>
      </c>
    </row>
    <row r="328" spans="1:14" x14ac:dyDescent="0.3">
      <c r="A328" t="s">
        <v>71</v>
      </c>
      <c r="B328" t="s">
        <v>72</v>
      </c>
      <c r="C328">
        <v>2021</v>
      </c>
      <c r="D328" s="9">
        <v>0.66918998718261724</v>
      </c>
      <c r="E328" s="9">
        <v>4.0090016303627803E-2</v>
      </c>
      <c r="F328" s="10">
        <v>6320</v>
      </c>
      <c r="G328" s="9">
        <v>0.74968599999999996</v>
      </c>
      <c r="H328" s="11">
        <v>61.502603000000001</v>
      </c>
      <c r="I328" s="10">
        <v>291.09024905703768</v>
      </c>
      <c r="J328" s="9">
        <v>0.32715018408027863</v>
      </c>
      <c r="K328" s="12">
        <v>0.52714438356164395</v>
      </c>
      <c r="L328" s="9">
        <v>0.34006999999999998</v>
      </c>
      <c r="M328" s="12">
        <v>0.52714438356164395</v>
      </c>
      <c r="N328" s="10">
        <f t="shared" si="5"/>
        <v>4.7329744573093544</v>
      </c>
    </row>
    <row r="329" spans="1:14" x14ac:dyDescent="0.3">
      <c r="A329" t="s">
        <v>71</v>
      </c>
      <c r="B329" t="s">
        <v>72</v>
      </c>
      <c r="C329">
        <v>2022</v>
      </c>
      <c r="D329" s="9">
        <v>0.66918998718261724</v>
      </c>
      <c r="E329" s="9">
        <v>3.9394206931937598E-2</v>
      </c>
      <c r="F329" s="10">
        <v>6530</v>
      </c>
      <c r="G329" s="9">
        <v>0.754556</v>
      </c>
      <c r="H329" s="11">
        <v>62.378410000000002</v>
      </c>
      <c r="I329" s="10">
        <v>268.98348410273451</v>
      </c>
      <c r="J329" s="9">
        <v>-7.7551472226748519E-2</v>
      </c>
      <c r="K329" s="12">
        <v>0.24334136986301369</v>
      </c>
      <c r="L329" s="9">
        <v>0.33268000000000003</v>
      </c>
      <c r="M329" s="12">
        <v>0.24334136986301369</v>
      </c>
      <c r="N329" s="10">
        <f t="shared" si="5"/>
        <v>4.3121247255698645</v>
      </c>
    </row>
    <row r="330" spans="1:14" x14ac:dyDescent="0.3">
      <c r="A330" t="s">
        <v>71</v>
      </c>
      <c r="B330" t="s">
        <v>72</v>
      </c>
      <c r="C330">
        <v>2023</v>
      </c>
      <c r="D330" s="9"/>
      <c r="E330" s="9">
        <v>4.0004803698574301E-2</v>
      </c>
      <c r="F330" s="10">
        <v>6490</v>
      </c>
      <c r="G330" s="9">
        <v>0.75659199999999993</v>
      </c>
      <c r="H330" s="11">
        <v>63.212384</v>
      </c>
      <c r="I330" s="10">
        <v>266.50456988818593</v>
      </c>
      <c r="J330" s="9">
        <v>-9.7184840983830512E-3</v>
      </c>
      <c r="K330" s="12"/>
      <c r="L330" s="9">
        <v>0.32097999999999999</v>
      </c>
      <c r="M330" s="12">
        <v>0</v>
      </c>
      <c r="N330" s="10">
        <f t="shared" si="5"/>
        <v>4.2160183341318991</v>
      </c>
    </row>
    <row r="331" spans="1:14" x14ac:dyDescent="0.3">
      <c r="A331" t="s">
        <v>71</v>
      </c>
      <c r="B331" t="s">
        <v>72</v>
      </c>
      <c r="C331">
        <v>2024</v>
      </c>
      <c r="D331" s="9"/>
      <c r="E331" s="9"/>
      <c r="F331" s="10">
        <v>6110</v>
      </c>
      <c r="G331" s="9"/>
      <c r="H331" s="11">
        <v>64.007187000000002</v>
      </c>
      <c r="I331" s="10">
        <v>241.5231632340018</v>
      </c>
      <c r="J331" s="9">
        <v>-9.3765383597925855E-2</v>
      </c>
      <c r="K331" s="12"/>
      <c r="L331" s="9">
        <v>0.32279000000000002</v>
      </c>
      <c r="M331" s="12">
        <v>0</v>
      </c>
      <c r="N331" s="10">
        <f t="shared" si="5"/>
        <v>3.7733756872334006</v>
      </c>
    </row>
    <row r="332" spans="1:14" x14ac:dyDescent="0.3">
      <c r="A332" t="s">
        <v>73</v>
      </c>
      <c r="B332" t="s">
        <v>74</v>
      </c>
      <c r="C332">
        <v>2014</v>
      </c>
      <c r="D332" s="9">
        <v>0.36472000122070314</v>
      </c>
      <c r="E332" s="9">
        <v>3.5789386408807598E-2</v>
      </c>
      <c r="F332" s="10">
        <v>29350</v>
      </c>
      <c r="G332" s="9">
        <v>0.76186700000000007</v>
      </c>
      <c r="H332" s="11">
        <v>46.460732999999998</v>
      </c>
      <c r="J332" s="9"/>
      <c r="K332" s="12"/>
      <c r="L332" s="9">
        <v>0.24440999999999999</v>
      </c>
      <c r="M332" s="12">
        <v>0</v>
      </c>
      <c r="N332" s="10">
        <f t="shared" si="5"/>
        <v>0</v>
      </c>
    </row>
    <row r="333" spans="1:14" x14ac:dyDescent="0.3">
      <c r="A333" t="s">
        <v>73</v>
      </c>
      <c r="B333" t="s">
        <v>74</v>
      </c>
      <c r="C333">
        <v>2015</v>
      </c>
      <c r="D333" s="9">
        <v>0.36293998718261716</v>
      </c>
      <c r="E333" s="9">
        <v>3.6027392986796303E-2</v>
      </c>
      <c r="F333" s="10">
        <v>28700</v>
      </c>
      <c r="G333" s="9">
        <v>0.78689600000000004</v>
      </c>
      <c r="H333" s="11">
        <v>46.422302999999999</v>
      </c>
      <c r="I333" s="10">
        <v>525.40720859718522</v>
      </c>
      <c r="J333" s="9"/>
      <c r="K333" s="12"/>
      <c r="L333" s="9">
        <v>0.22056999999999999</v>
      </c>
      <c r="M333" s="12">
        <v>0</v>
      </c>
      <c r="N333" s="10">
        <f t="shared" si="5"/>
        <v>11.3179910224873</v>
      </c>
    </row>
    <row r="334" spans="1:14" x14ac:dyDescent="0.3">
      <c r="A334" t="s">
        <v>73</v>
      </c>
      <c r="B334" t="s">
        <v>74</v>
      </c>
      <c r="C334">
        <v>2016</v>
      </c>
      <c r="D334" s="9">
        <v>0.36116001129150388</v>
      </c>
      <c r="E334" s="9">
        <v>3.6310892692579602E-2</v>
      </c>
      <c r="F334" s="10">
        <v>27760</v>
      </c>
      <c r="G334" s="9">
        <v>0.80561300000000002</v>
      </c>
      <c r="H334" s="11">
        <v>46.458139000000003</v>
      </c>
      <c r="I334" s="10">
        <v>595.75769066352234</v>
      </c>
      <c r="J334" s="9">
        <v>0.13413714097850971</v>
      </c>
      <c r="K334" s="12"/>
      <c r="L334" s="9">
        <v>0.19635000000000002</v>
      </c>
      <c r="M334" s="12">
        <v>0</v>
      </c>
      <c r="N334" s="10">
        <f t="shared" si="5"/>
        <v>12.823537564936087</v>
      </c>
    </row>
    <row r="335" spans="1:14" x14ac:dyDescent="0.3">
      <c r="A335" t="s">
        <v>73</v>
      </c>
      <c r="B335" t="s">
        <v>74</v>
      </c>
      <c r="C335">
        <v>2017</v>
      </c>
      <c r="D335" s="9">
        <v>0.35937000274658204</v>
      </c>
      <c r="E335" s="9">
        <v>3.84053933791388E-2</v>
      </c>
      <c r="F335" s="10">
        <v>27290</v>
      </c>
      <c r="G335" s="9">
        <v>0.84602199999999994</v>
      </c>
      <c r="H335" s="11">
        <v>46.571232000000002</v>
      </c>
      <c r="I335" s="10">
        <v>720.45726559396735</v>
      </c>
      <c r="J335" s="9">
        <v>0.20976280557376614</v>
      </c>
      <c r="K335" s="12"/>
      <c r="L335" s="9">
        <v>0.17224</v>
      </c>
      <c r="M335" s="12">
        <v>0</v>
      </c>
      <c r="N335" s="10">
        <f t="shared" si="5"/>
        <v>15.470006582474936</v>
      </c>
    </row>
    <row r="336" spans="1:14" x14ac:dyDescent="0.3">
      <c r="A336" t="s">
        <v>73</v>
      </c>
      <c r="B336" t="s">
        <v>74</v>
      </c>
      <c r="C336">
        <v>2018</v>
      </c>
      <c r="D336" s="9">
        <v>0.34840000152587891</v>
      </c>
      <c r="E336" s="9">
        <v>3.8289492974016799E-2</v>
      </c>
      <c r="F336" s="10">
        <v>29530</v>
      </c>
      <c r="G336" s="9">
        <v>0.86107200000000006</v>
      </c>
      <c r="H336" s="11">
        <v>46.782010999999997</v>
      </c>
      <c r="I336" s="10">
        <v>849.38274193755035</v>
      </c>
      <c r="J336" s="9">
        <v>0.1803899533762563</v>
      </c>
      <c r="K336" s="12"/>
      <c r="L336" s="9">
        <v>0.15255000000000002</v>
      </c>
      <c r="M336" s="12">
        <v>0</v>
      </c>
      <c r="N336" s="10">
        <f t="shared" si="5"/>
        <v>18.156182767293831</v>
      </c>
    </row>
    <row r="337" spans="1:14" x14ac:dyDescent="0.3">
      <c r="A337" t="s">
        <v>73</v>
      </c>
      <c r="B337" t="s">
        <v>74</v>
      </c>
      <c r="C337">
        <v>2019</v>
      </c>
      <c r="D337" s="9">
        <v>0.34797000885009771</v>
      </c>
      <c r="E337" s="9">
        <v>3.8660714349016398E-2</v>
      </c>
      <c r="F337" s="10">
        <v>30560</v>
      </c>
      <c r="G337" s="9">
        <v>0.90718699999999997</v>
      </c>
      <c r="H337" s="11">
        <v>47.118501000000002</v>
      </c>
      <c r="I337" s="10">
        <v>917.6135806552337</v>
      </c>
      <c r="J337" s="9">
        <v>8.0721165921798343E-2</v>
      </c>
      <c r="K337" s="12"/>
      <c r="L337" s="9">
        <v>0.14104</v>
      </c>
      <c r="M337" s="12">
        <v>0</v>
      </c>
      <c r="N337" s="10">
        <f t="shared" si="5"/>
        <v>19.474591958161692</v>
      </c>
    </row>
    <row r="338" spans="1:14" x14ac:dyDescent="0.3">
      <c r="A338" t="s">
        <v>73</v>
      </c>
      <c r="B338" t="s">
        <v>74</v>
      </c>
      <c r="C338">
        <v>2020</v>
      </c>
      <c r="D338" s="9">
        <v>0.34299999237060547</v>
      </c>
      <c r="E338" s="9">
        <v>4.6095906742754399E-2</v>
      </c>
      <c r="F338" s="10">
        <v>27410</v>
      </c>
      <c r="G338" s="9">
        <v>0.932056</v>
      </c>
      <c r="H338" s="11">
        <v>47.359423999999997</v>
      </c>
      <c r="I338" s="10">
        <v>987.92126374553425</v>
      </c>
      <c r="J338" s="9">
        <v>7.9437078989138099E-2</v>
      </c>
      <c r="K338" s="12">
        <v>0.56272158469945355</v>
      </c>
      <c r="L338" s="9">
        <v>0.15532000000000001</v>
      </c>
      <c r="M338" s="12">
        <v>0.56272158469945355</v>
      </c>
      <c r="N338" s="10">
        <f t="shared" si="5"/>
        <v>20.860077684760995</v>
      </c>
    </row>
    <row r="339" spans="1:14" x14ac:dyDescent="0.3">
      <c r="A339" t="s">
        <v>73</v>
      </c>
      <c r="B339" t="s">
        <v>74</v>
      </c>
      <c r="C339">
        <v>2021</v>
      </c>
      <c r="D339" s="9">
        <v>0.34898998260498049</v>
      </c>
      <c r="E339" s="9">
        <v>4.7269068306389599E-2</v>
      </c>
      <c r="F339" s="10">
        <v>30380</v>
      </c>
      <c r="G339" s="9">
        <v>0.93897499999999989</v>
      </c>
      <c r="H339" s="11">
        <v>47.443821</v>
      </c>
      <c r="I339" s="10">
        <v>1143.244922042649</v>
      </c>
      <c r="J339" s="9">
        <v>0.1546451031829863</v>
      </c>
      <c r="K339" s="12">
        <v>0.55437753424657532</v>
      </c>
      <c r="L339" s="9">
        <v>0.14913999999999999</v>
      </c>
      <c r="M339" s="12">
        <v>0.55437753424657532</v>
      </c>
      <c r="N339" s="10">
        <f t="shared" si="5"/>
        <v>24.096813830459588</v>
      </c>
    </row>
    <row r="340" spans="1:14" x14ac:dyDescent="0.3">
      <c r="A340" t="s">
        <v>73</v>
      </c>
      <c r="B340" t="s">
        <v>74</v>
      </c>
      <c r="C340">
        <v>2022</v>
      </c>
      <c r="D340" s="9">
        <v>0.3388999938964844</v>
      </c>
      <c r="E340" s="9">
        <v>4.4251064202311403E-2</v>
      </c>
      <c r="F340" s="10">
        <v>32690</v>
      </c>
      <c r="G340" s="9">
        <v>0.944855</v>
      </c>
      <c r="H340" s="11">
        <v>47.786102</v>
      </c>
      <c r="I340" s="10">
        <v>1042.453965529254</v>
      </c>
      <c r="J340" s="9">
        <v>-8.9747689857550106E-2</v>
      </c>
      <c r="K340" s="12">
        <v>0.23135999999999998</v>
      </c>
      <c r="L340" s="9">
        <v>0.13033</v>
      </c>
      <c r="M340" s="12">
        <v>0.23135999999999998</v>
      </c>
      <c r="N340" s="10">
        <f t="shared" si="5"/>
        <v>21.815003147343006</v>
      </c>
    </row>
    <row r="341" spans="1:14" x14ac:dyDescent="0.3">
      <c r="A341" t="s">
        <v>73</v>
      </c>
      <c r="B341" t="s">
        <v>74</v>
      </c>
      <c r="C341">
        <v>2023</v>
      </c>
      <c r="D341" s="9"/>
      <c r="E341" s="9">
        <v>4.7322656194851501E-2</v>
      </c>
      <c r="F341" s="10">
        <v>32980</v>
      </c>
      <c r="G341" s="9">
        <v>0.95445599999999997</v>
      </c>
      <c r="H341" s="11">
        <v>48.352528</v>
      </c>
      <c r="I341" s="10">
        <v>1077.096197538051</v>
      </c>
      <c r="J341" s="9">
        <v>3.2707268930751709E-2</v>
      </c>
      <c r="K341" s="12"/>
      <c r="L341" s="9">
        <v>0.12179000000000001</v>
      </c>
      <c r="M341" s="12">
        <v>0</v>
      </c>
      <c r="N341" s="10">
        <f t="shared" si="5"/>
        <v>22.275902462391439</v>
      </c>
    </row>
    <row r="342" spans="1:14" x14ac:dyDescent="0.3">
      <c r="A342" t="s">
        <v>73</v>
      </c>
      <c r="B342" t="s">
        <v>74</v>
      </c>
      <c r="C342">
        <v>2024</v>
      </c>
      <c r="D342" s="9"/>
      <c r="E342" s="9"/>
      <c r="F342" s="10">
        <v>33550</v>
      </c>
      <c r="G342" s="9">
        <v>0.95757499999999995</v>
      </c>
      <c r="H342" s="11">
        <v>48.848840000000003</v>
      </c>
      <c r="I342" s="10">
        <v>1151.6245224534071</v>
      </c>
      <c r="J342" s="9">
        <v>6.9160563489409466E-2</v>
      </c>
      <c r="K342" s="12"/>
      <c r="L342" s="9">
        <v>0.114</v>
      </c>
      <c r="M342" s="12">
        <v>0</v>
      </c>
      <c r="N342" s="10">
        <f t="shared" si="5"/>
        <v>23.575268572465731</v>
      </c>
    </row>
    <row r="343" spans="1:14" x14ac:dyDescent="0.3">
      <c r="A343" t="s">
        <v>75</v>
      </c>
      <c r="B343" t="s">
        <v>76</v>
      </c>
      <c r="C343">
        <v>2014</v>
      </c>
      <c r="D343" s="9">
        <v>0.28799999237060553</v>
      </c>
      <c r="E343" s="9">
        <v>4.0745470884030903E-2</v>
      </c>
      <c r="F343" s="10">
        <v>61350</v>
      </c>
      <c r="G343" s="9">
        <v>0.92523600000000006</v>
      </c>
      <c r="H343" s="11">
        <v>9.6961099999999991</v>
      </c>
      <c r="J343" s="9"/>
      <c r="K343" s="12"/>
      <c r="L343" s="9">
        <v>7.954E-2</v>
      </c>
      <c r="M343" s="12">
        <v>0</v>
      </c>
      <c r="N343" s="10">
        <f t="shared" si="5"/>
        <v>0</v>
      </c>
    </row>
    <row r="344" spans="1:14" x14ac:dyDescent="0.3">
      <c r="A344" t="s">
        <v>75</v>
      </c>
      <c r="B344" t="s">
        <v>76</v>
      </c>
      <c r="C344">
        <v>2015</v>
      </c>
      <c r="D344" s="9">
        <v>0.29979000091552732</v>
      </c>
      <c r="E344" s="9">
        <v>4.2899763220941099E-2</v>
      </c>
      <c r="F344" s="10">
        <v>57900</v>
      </c>
      <c r="G344" s="9">
        <v>0.90610200000000007</v>
      </c>
      <c r="H344" s="11">
        <v>9.7991860000000006</v>
      </c>
      <c r="I344" s="10">
        <v>260.52789487619589</v>
      </c>
      <c r="J344" s="9"/>
      <c r="K344" s="12"/>
      <c r="L344" s="9">
        <v>7.4319999999999997E-2</v>
      </c>
      <c r="M344" s="12">
        <v>0</v>
      </c>
      <c r="N344" s="10">
        <f t="shared" si="5"/>
        <v>26.58668739180947</v>
      </c>
    </row>
    <row r="345" spans="1:14" x14ac:dyDescent="0.3">
      <c r="A345" t="s">
        <v>75</v>
      </c>
      <c r="B345" t="s">
        <v>76</v>
      </c>
      <c r="C345">
        <v>2016</v>
      </c>
      <c r="D345" s="9">
        <v>0.30410999298095698</v>
      </c>
      <c r="E345" s="9">
        <v>4.1989512298794503E-2</v>
      </c>
      <c r="F345" s="10">
        <v>53850</v>
      </c>
      <c r="G345" s="9">
        <v>0.89650899999999989</v>
      </c>
      <c r="H345" s="11">
        <v>9.9230850000000004</v>
      </c>
      <c r="I345" s="10">
        <v>303.40959192031971</v>
      </c>
      <c r="J345" s="9">
        <v>0.16484199303159452</v>
      </c>
      <c r="K345" s="12"/>
      <c r="L345" s="9">
        <v>6.9900000000000004E-2</v>
      </c>
      <c r="M345" s="12">
        <v>0</v>
      </c>
      <c r="N345" s="10">
        <f t="shared" si="5"/>
        <v>30.576135538526547</v>
      </c>
    </row>
    <row r="346" spans="1:14" x14ac:dyDescent="0.3">
      <c r="A346" t="s">
        <v>75</v>
      </c>
      <c r="B346" t="s">
        <v>76</v>
      </c>
      <c r="C346">
        <v>2017</v>
      </c>
      <c r="D346" s="9">
        <v>0.29912000656127929</v>
      </c>
      <c r="E346" s="9">
        <v>4.3511731756676497E-2</v>
      </c>
      <c r="F346" s="10">
        <v>52240</v>
      </c>
      <c r="G346" s="9">
        <v>0.93006299999999997</v>
      </c>
      <c r="H346" s="11">
        <v>10.057698</v>
      </c>
      <c r="I346" s="10">
        <v>389.82171875357221</v>
      </c>
      <c r="J346" s="9">
        <v>0.28528188178330827</v>
      </c>
      <c r="K346" s="12"/>
      <c r="L346" s="9">
        <v>6.7180000000000004E-2</v>
      </c>
      <c r="M346" s="12">
        <v>0</v>
      </c>
      <c r="N346" s="10">
        <f t="shared" si="5"/>
        <v>38.758542834908368</v>
      </c>
    </row>
    <row r="347" spans="1:14" x14ac:dyDescent="0.3">
      <c r="A347" t="s">
        <v>75</v>
      </c>
      <c r="B347" t="s">
        <v>76</v>
      </c>
      <c r="C347">
        <v>2018</v>
      </c>
      <c r="D347" s="9">
        <v>0.30537000656127927</v>
      </c>
      <c r="E347" s="9">
        <v>4.2567010333994501E-2</v>
      </c>
      <c r="F347" s="10">
        <v>54930</v>
      </c>
      <c r="G347" s="9">
        <v>0.89246999999999999</v>
      </c>
      <c r="H347" s="11">
        <v>10.175214</v>
      </c>
      <c r="I347" s="10">
        <v>402.42407439974693</v>
      </c>
      <c r="J347" s="9">
        <v>3.3589810230635786E-2</v>
      </c>
      <c r="K347" s="12"/>
      <c r="L347" s="9">
        <v>6.3649999999999998E-2</v>
      </c>
      <c r="M347" s="12">
        <v>0</v>
      </c>
      <c r="N347" s="10">
        <f t="shared" si="5"/>
        <v>39.549445780673203</v>
      </c>
    </row>
    <row r="348" spans="1:14" x14ac:dyDescent="0.3">
      <c r="A348" t="s">
        <v>75</v>
      </c>
      <c r="B348" t="s">
        <v>76</v>
      </c>
      <c r="C348">
        <v>2019</v>
      </c>
      <c r="D348" s="9">
        <v>0.30569000244140621</v>
      </c>
      <c r="E348" s="9">
        <v>4.2875715464444103E-2</v>
      </c>
      <c r="F348" s="10">
        <v>56100</v>
      </c>
      <c r="G348" s="9">
        <v>0.94493399999999994</v>
      </c>
      <c r="H348" s="11">
        <v>10.278886999999999</v>
      </c>
      <c r="I348" s="10">
        <v>364.27004783280222</v>
      </c>
      <c r="J348" s="9">
        <v>-9.4482670197095886E-2</v>
      </c>
      <c r="K348" s="12"/>
      <c r="L348" s="9">
        <v>6.8330000000000002E-2</v>
      </c>
      <c r="M348" s="12">
        <v>0</v>
      </c>
      <c r="N348" s="10">
        <f t="shared" si="5"/>
        <v>35.438666446357686</v>
      </c>
    </row>
    <row r="349" spans="1:14" x14ac:dyDescent="0.3">
      <c r="A349" t="s">
        <v>75</v>
      </c>
      <c r="B349" t="s">
        <v>76</v>
      </c>
      <c r="C349">
        <v>2020</v>
      </c>
      <c r="D349" s="9">
        <v>0.2944000053405762</v>
      </c>
      <c r="E349" s="9">
        <v>5.2344169351038701E-2</v>
      </c>
      <c r="F349" s="10">
        <v>54590</v>
      </c>
      <c r="G349" s="9">
        <v>0.94539399999999996</v>
      </c>
      <c r="H349" s="11">
        <v>10.353441999999999</v>
      </c>
      <c r="I349" s="10">
        <v>460.00005115432492</v>
      </c>
      <c r="J349" s="9">
        <v>0.26610361459966647</v>
      </c>
      <c r="K349" s="12">
        <v>0.49005874316939901</v>
      </c>
      <c r="L349" s="9">
        <v>8.2909999999999998E-2</v>
      </c>
      <c r="M349" s="12">
        <v>0.49005874316939901</v>
      </c>
      <c r="N349" s="10">
        <f t="shared" si="5"/>
        <v>44.429673837389046</v>
      </c>
    </row>
    <row r="350" spans="1:14" x14ac:dyDescent="0.3">
      <c r="A350" t="s">
        <v>75</v>
      </c>
      <c r="B350" t="s">
        <v>76</v>
      </c>
      <c r="C350">
        <v>2021</v>
      </c>
      <c r="D350" s="9">
        <v>0.30614999771118162</v>
      </c>
      <c r="E350" s="9">
        <v>4.8390470721866898E-2</v>
      </c>
      <c r="F350" s="10">
        <v>59840</v>
      </c>
      <c r="G350" s="9">
        <v>0.94670299999999996</v>
      </c>
      <c r="H350" s="11">
        <v>10.415811</v>
      </c>
      <c r="I350" s="10">
        <v>536.89281423155239</v>
      </c>
      <c r="J350" s="9">
        <v>0.16455842495076056</v>
      </c>
      <c r="K350" s="12">
        <v>0.46225232876712335</v>
      </c>
      <c r="L350" s="9">
        <v>8.8030000000000011E-2</v>
      </c>
      <c r="M350" s="12">
        <v>0.46225232876712335</v>
      </c>
      <c r="N350" s="10">
        <f t="shared" si="5"/>
        <v>51.545944356282234</v>
      </c>
    </row>
    <row r="351" spans="1:14" x14ac:dyDescent="0.3">
      <c r="A351" t="s">
        <v>75</v>
      </c>
      <c r="B351" t="s">
        <v>76</v>
      </c>
      <c r="C351">
        <v>2022</v>
      </c>
      <c r="D351" s="9">
        <v>0.31680000305175782</v>
      </c>
      <c r="E351" s="9">
        <v>5.1315502791391798E-2</v>
      </c>
      <c r="F351" s="10">
        <v>61920</v>
      </c>
      <c r="G351" s="9">
        <v>0.95009699999999997</v>
      </c>
      <c r="H351" s="11">
        <v>10.486941</v>
      </c>
      <c r="I351" s="10">
        <v>455.88382062644661</v>
      </c>
      <c r="J351" s="9">
        <v>-0.15236130729019981</v>
      </c>
      <c r="K351" s="12">
        <v>0.1480323287671233</v>
      </c>
      <c r="L351" s="9">
        <v>7.417E-2</v>
      </c>
      <c r="M351" s="12">
        <v>0.1480323287671233</v>
      </c>
      <c r="N351" s="10">
        <f t="shared" si="5"/>
        <v>43.471572942619453</v>
      </c>
    </row>
    <row r="352" spans="1:14" x14ac:dyDescent="0.3">
      <c r="A352" t="s">
        <v>75</v>
      </c>
      <c r="B352" t="s">
        <v>76</v>
      </c>
      <c r="C352">
        <v>2023</v>
      </c>
      <c r="D352" s="9"/>
      <c r="E352" s="9">
        <v>5.2699754076562397E-2</v>
      </c>
      <c r="F352" s="10">
        <v>60300</v>
      </c>
      <c r="G352" s="9">
        <v>0.95703300000000002</v>
      </c>
      <c r="H352" s="11">
        <v>10.536632000000001</v>
      </c>
      <c r="I352" s="10">
        <v>418.03170741743628</v>
      </c>
      <c r="J352" s="9">
        <v>-8.3495352431159131E-2</v>
      </c>
      <c r="K352" s="12"/>
      <c r="L352" s="9">
        <v>7.6109999999999997E-2</v>
      </c>
      <c r="M352" s="12">
        <v>0</v>
      </c>
      <c r="N352" s="10">
        <f t="shared" si="5"/>
        <v>39.67412997032033</v>
      </c>
    </row>
    <row r="353" spans="1:14" x14ac:dyDescent="0.3">
      <c r="A353" t="s">
        <v>75</v>
      </c>
      <c r="B353" t="s">
        <v>76</v>
      </c>
      <c r="C353">
        <v>2024</v>
      </c>
      <c r="D353" s="9"/>
      <c r="E353" s="9"/>
      <c r="F353" s="10">
        <v>58190</v>
      </c>
      <c r="G353" s="9">
        <v>0.95529300000000006</v>
      </c>
      <c r="H353" s="11">
        <v>10.569709</v>
      </c>
      <c r="I353" s="10">
        <v>415.77918443813797</v>
      </c>
      <c r="J353" s="9">
        <v>-5.4192736973790456E-3</v>
      </c>
      <c r="K353" s="12"/>
      <c r="L353" s="9">
        <v>8.4000000000000005E-2</v>
      </c>
      <c r="M353" s="12">
        <v>0</v>
      </c>
      <c r="N353" s="10">
        <f t="shared" si="5"/>
        <v>39.336862011824358</v>
      </c>
    </row>
    <row r="354" spans="1:14" x14ac:dyDescent="0.3">
      <c r="A354" t="s">
        <v>77</v>
      </c>
      <c r="B354" t="s">
        <v>78</v>
      </c>
      <c r="C354">
        <v>2014</v>
      </c>
      <c r="D354" s="9">
        <v>0.32785999298095703</v>
      </c>
      <c r="E354" s="9">
        <v>4.8227006532713002E-2</v>
      </c>
      <c r="F354" s="10">
        <v>88250</v>
      </c>
      <c r="G354" s="9">
        <v>0.83617300000000006</v>
      </c>
      <c r="H354" s="11">
        <v>8.1886489999999998</v>
      </c>
      <c r="J354" s="9"/>
      <c r="K354" s="12"/>
      <c r="L354" s="9">
        <v>4.8259999999999997E-2</v>
      </c>
      <c r="M354" s="12">
        <v>0</v>
      </c>
      <c r="N354" s="10">
        <f t="shared" si="5"/>
        <v>0</v>
      </c>
    </row>
    <row r="355" spans="1:14" x14ac:dyDescent="0.3">
      <c r="A355" t="s">
        <v>77</v>
      </c>
      <c r="B355" t="s">
        <v>78</v>
      </c>
      <c r="C355">
        <v>2015</v>
      </c>
      <c r="D355" s="9">
        <v>0.32986000061035164</v>
      </c>
      <c r="E355" s="9">
        <v>4.78784329353849E-2</v>
      </c>
      <c r="F355" s="10">
        <v>86810</v>
      </c>
      <c r="G355" s="9">
        <v>0.87479099999999999</v>
      </c>
      <c r="H355" s="11">
        <v>8.2823960000000003</v>
      </c>
      <c r="I355" s="10">
        <v>276.35427055984297</v>
      </c>
      <c r="J355" s="9"/>
      <c r="K355" s="12"/>
      <c r="L355" s="9">
        <v>4.8010000000000004E-2</v>
      </c>
      <c r="M355" s="12">
        <v>0</v>
      </c>
      <c r="N355" s="10">
        <f t="shared" si="5"/>
        <v>33.366464312964865</v>
      </c>
    </row>
    <row r="356" spans="1:14" x14ac:dyDescent="0.3">
      <c r="A356" t="s">
        <v>77</v>
      </c>
      <c r="B356" t="s">
        <v>78</v>
      </c>
      <c r="C356">
        <v>2016</v>
      </c>
      <c r="D356" s="9">
        <v>0.32827999114990225</v>
      </c>
      <c r="E356" s="9">
        <v>4.8256195648517797E-2</v>
      </c>
      <c r="F356" s="10">
        <v>83360</v>
      </c>
      <c r="G356" s="9">
        <v>0.891347</v>
      </c>
      <c r="H356" s="11">
        <v>8.3733380000000004</v>
      </c>
      <c r="I356" s="10">
        <v>300.9619002085534</v>
      </c>
      <c r="J356" s="9">
        <v>8.927436417319079E-2</v>
      </c>
      <c r="K356" s="12"/>
      <c r="L356" s="9">
        <v>4.9180000000000001E-2</v>
      </c>
      <c r="M356" s="12">
        <v>0</v>
      </c>
      <c r="N356" s="10">
        <f t="shared" si="5"/>
        <v>35.942882063109522</v>
      </c>
    </row>
    <row r="357" spans="1:14" x14ac:dyDescent="0.3">
      <c r="A357" t="s">
        <v>77</v>
      </c>
      <c r="B357" t="s">
        <v>78</v>
      </c>
      <c r="C357">
        <v>2017</v>
      </c>
      <c r="D357" s="9">
        <v>0.33472999572753914</v>
      </c>
      <c r="E357" s="9">
        <v>5.0436550877201697E-2</v>
      </c>
      <c r="F357" s="10">
        <v>80770</v>
      </c>
      <c r="G357" s="9">
        <v>0.89686099999999991</v>
      </c>
      <c r="H357" s="11">
        <v>8.4518400000000007</v>
      </c>
      <c r="I357" s="10">
        <v>340.85494277951312</v>
      </c>
      <c r="J357" s="9">
        <v>0.13297345769644253</v>
      </c>
      <c r="K357" s="12"/>
      <c r="L357" s="9">
        <v>4.7969999999999999E-2</v>
      </c>
      <c r="M357" s="12">
        <v>0</v>
      </c>
      <c r="N357" s="10">
        <f t="shared" si="5"/>
        <v>40.32908133371113</v>
      </c>
    </row>
    <row r="358" spans="1:14" x14ac:dyDescent="0.3">
      <c r="A358" t="s">
        <v>77</v>
      </c>
      <c r="B358" t="s">
        <v>78</v>
      </c>
      <c r="C358">
        <v>2018</v>
      </c>
      <c r="D358" s="9">
        <v>0.33180999755859381</v>
      </c>
      <c r="E358" s="9">
        <v>4.8967450503250999E-2</v>
      </c>
      <c r="F358" s="10">
        <v>82470</v>
      </c>
      <c r="G358" s="9">
        <v>0.91799999999999993</v>
      </c>
      <c r="H358" s="11">
        <v>8.514329</v>
      </c>
      <c r="I358" s="10">
        <v>381.42315783812649</v>
      </c>
      <c r="J358" s="9">
        <v>0.12038621973756314</v>
      </c>
      <c r="K358" s="12"/>
      <c r="L358" s="9">
        <v>4.7129999999999998E-2</v>
      </c>
      <c r="M358" s="12">
        <v>0</v>
      </c>
      <c r="N358" s="10">
        <f t="shared" si="5"/>
        <v>44.797794146564748</v>
      </c>
    </row>
    <row r="359" spans="1:14" x14ac:dyDescent="0.3">
      <c r="A359" t="s">
        <v>77</v>
      </c>
      <c r="B359" t="s">
        <v>78</v>
      </c>
      <c r="C359">
        <v>2019</v>
      </c>
      <c r="D359" s="9">
        <v>0.33365001678466799</v>
      </c>
      <c r="E359" s="9">
        <v>5.0192674032260499E-2</v>
      </c>
      <c r="F359" s="10">
        <v>83160</v>
      </c>
      <c r="G359" s="9">
        <v>0.93146100000000009</v>
      </c>
      <c r="H359" s="11">
        <v>8.5752799999999993</v>
      </c>
      <c r="I359" s="10">
        <v>415.4980567552239</v>
      </c>
      <c r="J359" s="9">
        <v>8.9730727188494175E-2</v>
      </c>
      <c r="K359" s="12"/>
      <c r="L359" s="9">
        <v>4.394E-2</v>
      </c>
      <c r="M359" s="12">
        <v>0</v>
      </c>
      <c r="N359" s="10">
        <f t="shared" si="5"/>
        <v>48.453001739327924</v>
      </c>
    </row>
    <row r="360" spans="1:14" x14ac:dyDescent="0.3">
      <c r="A360" t="s">
        <v>77</v>
      </c>
      <c r="B360" t="s">
        <v>78</v>
      </c>
      <c r="C360">
        <v>2020</v>
      </c>
      <c r="D360" s="9">
        <v>0.34257999420166024</v>
      </c>
      <c r="E360" s="9">
        <v>6.1493083027472299E-2</v>
      </c>
      <c r="F360" s="10">
        <v>81740</v>
      </c>
      <c r="G360" s="9">
        <v>0.94349900000000009</v>
      </c>
      <c r="H360" s="11">
        <v>8.6381669999999993</v>
      </c>
      <c r="I360" s="10">
        <v>493.15214724818742</v>
      </c>
      <c r="J360" s="9">
        <v>0.18999945616653369</v>
      </c>
      <c r="K360" s="12">
        <v>0.42285218579234973</v>
      </c>
      <c r="L360" s="9">
        <v>4.8170000000000004E-2</v>
      </c>
      <c r="M360" s="12">
        <v>0.42285218579234973</v>
      </c>
      <c r="N360" s="10">
        <f t="shared" si="5"/>
        <v>57.089906602660896</v>
      </c>
    </row>
    <row r="361" spans="1:14" x14ac:dyDescent="0.3">
      <c r="A361" t="s">
        <v>77</v>
      </c>
      <c r="B361" t="s">
        <v>78</v>
      </c>
      <c r="C361">
        <v>2021</v>
      </c>
      <c r="D361" s="9">
        <v>0.3375899887084961</v>
      </c>
      <c r="E361" s="9">
        <v>5.9127353567969901E-2</v>
      </c>
      <c r="F361" s="10">
        <v>89120</v>
      </c>
      <c r="G361" s="9">
        <v>0.95569400000000004</v>
      </c>
      <c r="H361" s="11">
        <v>8.7045460000000006</v>
      </c>
      <c r="I361" s="10">
        <v>577.1465430890222</v>
      </c>
      <c r="J361" s="9">
        <v>0.16771468127073419</v>
      </c>
      <c r="K361" s="12">
        <v>0.51878356164383566</v>
      </c>
      <c r="L361" s="9">
        <v>5.0130000000000001E-2</v>
      </c>
      <c r="M361" s="12">
        <v>0.51878356164383566</v>
      </c>
      <c r="N361" s="10">
        <f t="shared" si="5"/>
        <v>66.304037348877486</v>
      </c>
    </row>
    <row r="362" spans="1:14" x14ac:dyDescent="0.3">
      <c r="A362" t="s">
        <v>77</v>
      </c>
      <c r="B362" t="s">
        <v>78</v>
      </c>
      <c r="C362">
        <v>2022</v>
      </c>
      <c r="D362" s="9">
        <v>0.3380699920654297</v>
      </c>
      <c r="E362" s="9">
        <v>6.2206398209448101E-2</v>
      </c>
      <c r="F362" s="10">
        <v>95600</v>
      </c>
      <c r="G362" s="9">
        <v>0.96452799999999994</v>
      </c>
      <c r="H362" s="11">
        <v>8.7770879999999991</v>
      </c>
      <c r="I362" s="10">
        <v>546.75704089666431</v>
      </c>
      <c r="J362" s="9">
        <v>-5.4301999546324198E-2</v>
      </c>
      <c r="K362" s="12">
        <v>0.1489435616438356</v>
      </c>
      <c r="L362" s="9">
        <v>4.122E-2</v>
      </c>
      <c r="M362" s="12">
        <v>0.1489435616438356</v>
      </c>
      <c r="N362" s="10">
        <f t="shared" si="5"/>
        <v>62.293671989692292</v>
      </c>
    </row>
    <row r="363" spans="1:14" x14ac:dyDescent="0.3">
      <c r="A363" t="s">
        <v>77</v>
      </c>
      <c r="B363" t="s">
        <v>78</v>
      </c>
      <c r="C363">
        <v>2023</v>
      </c>
      <c r="D363" s="9"/>
      <c r="E363" s="9">
        <v>6.0539583274890403E-2</v>
      </c>
      <c r="F363" s="10">
        <v>95740</v>
      </c>
      <c r="G363" s="9">
        <v>0.97344399999999998</v>
      </c>
      <c r="H363" s="11">
        <v>8.8888219999999993</v>
      </c>
      <c r="I363" s="10">
        <v>586.18687039478425</v>
      </c>
      <c r="J363" s="9">
        <v>7.1571931525906907E-2</v>
      </c>
      <c r="K363" s="12"/>
      <c r="L363" s="9">
        <v>4.0430000000000001E-2</v>
      </c>
      <c r="M363" s="12">
        <v>0</v>
      </c>
      <c r="N363" s="10">
        <f t="shared" si="5"/>
        <v>65.946519166969964</v>
      </c>
    </row>
    <row r="364" spans="1:14" x14ac:dyDescent="0.3">
      <c r="A364" t="s">
        <v>77</v>
      </c>
      <c r="B364" t="s">
        <v>78</v>
      </c>
      <c r="C364">
        <v>2024</v>
      </c>
      <c r="D364" s="9"/>
      <c r="E364" s="9"/>
      <c r="F364" s="10">
        <v>95220</v>
      </c>
      <c r="G364" s="9"/>
      <c r="H364" s="11">
        <v>9.0055820000000004</v>
      </c>
      <c r="I364" s="10">
        <v>609.93515351924077</v>
      </c>
      <c r="J364" s="9">
        <v>4.0480864910213743E-2</v>
      </c>
      <c r="K364" s="12"/>
      <c r="L364" s="9">
        <v>4.3429999999999996E-2</v>
      </c>
      <c r="M364" s="12">
        <v>0</v>
      </c>
      <c r="N364" s="10">
        <f t="shared" si="5"/>
        <v>67.728565851628545</v>
      </c>
    </row>
    <row r="365" spans="1:14" x14ac:dyDescent="0.3">
      <c r="A365" t="s">
        <v>79</v>
      </c>
      <c r="B365" t="s">
        <v>80</v>
      </c>
      <c r="C365">
        <v>2014</v>
      </c>
      <c r="D365" s="9">
        <v>0.38972000122070311</v>
      </c>
      <c r="E365" s="9">
        <v>2.3173361919494002E-2</v>
      </c>
      <c r="F365" s="10">
        <v>5620</v>
      </c>
      <c r="G365" s="9">
        <v>0.34886099999999998</v>
      </c>
      <c r="H365" s="11">
        <v>70.216367000000005</v>
      </c>
      <c r="J365" s="9"/>
      <c r="K365" s="12"/>
      <c r="L365" s="9">
        <v>5.7599999999999995E-3</v>
      </c>
      <c r="M365" s="12">
        <v>0</v>
      </c>
      <c r="N365" s="10">
        <f t="shared" si="5"/>
        <v>0</v>
      </c>
    </row>
    <row r="366" spans="1:14" x14ac:dyDescent="0.3">
      <c r="A366" t="s">
        <v>79</v>
      </c>
      <c r="B366" t="s">
        <v>80</v>
      </c>
      <c r="C366">
        <v>2015</v>
      </c>
      <c r="D366" s="9">
        <v>0.38221000671386718</v>
      </c>
      <c r="E366" s="9">
        <v>2.34976818008505E-2</v>
      </c>
      <c r="F366" s="10">
        <v>5560</v>
      </c>
      <c r="G366" s="9">
        <v>0.39316099999999998</v>
      </c>
      <c r="H366" s="11">
        <v>70.540795000000003</v>
      </c>
      <c r="I366" s="10">
        <v>153.4437041202458</v>
      </c>
      <c r="J366" s="9"/>
      <c r="K366" s="12"/>
      <c r="L366" s="9">
        <v>5.9699999999999996E-3</v>
      </c>
      <c r="M366" s="12">
        <v>0</v>
      </c>
      <c r="N366" s="10">
        <f t="shared" si="5"/>
        <v>2.1752477289240333</v>
      </c>
    </row>
    <row r="367" spans="1:14" x14ac:dyDescent="0.3">
      <c r="A367" t="s">
        <v>79</v>
      </c>
      <c r="B367" t="s">
        <v>80</v>
      </c>
      <c r="C367">
        <v>2016</v>
      </c>
      <c r="D367" s="9">
        <v>0.38887001037597663</v>
      </c>
      <c r="E367" s="9">
        <v>2.3785833115615999E-2</v>
      </c>
      <c r="F367" s="10">
        <v>5550</v>
      </c>
      <c r="G367" s="9">
        <v>0.47505000000000003</v>
      </c>
      <c r="H367" s="11">
        <v>70.859841000000003</v>
      </c>
      <c r="I367" s="10">
        <v>160.85045243181739</v>
      </c>
      <c r="J367" s="9">
        <v>4.8492083412873255E-2</v>
      </c>
      <c r="K367" s="12"/>
      <c r="L367" s="9">
        <v>6.8799999999999998E-3</v>
      </c>
      <c r="M367" s="12">
        <v>0</v>
      </c>
      <c r="N367" s="10">
        <f t="shared" si="5"/>
        <v>2.2699804312546705</v>
      </c>
    </row>
    <row r="368" spans="1:14" x14ac:dyDescent="0.3">
      <c r="A368" t="s">
        <v>79</v>
      </c>
      <c r="B368" t="s">
        <v>80</v>
      </c>
      <c r="C368">
        <v>2017</v>
      </c>
      <c r="D368" s="9">
        <v>0.38465000152587892</v>
      </c>
      <c r="E368" s="9">
        <v>2.40875856707316E-2</v>
      </c>
      <c r="F368" s="10">
        <v>5800</v>
      </c>
      <c r="G368" s="9">
        <v>0.52891900000000003</v>
      </c>
      <c r="H368" s="11">
        <v>71.160186999999993</v>
      </c>
      <c r="I368" s="10">
        <v>187.9949606312569</v>
      </c>
      <c r="J368" s="9">
        <v>0.16919131538687382</v>
      </c>
      <c r="K368" s="12"/>
      <c r="L368" s="9">
        <v>8.3000000000000001E-3</v>
      </c>
      <c r="M368" s="12">
        <v>0</v>
      </c>
      <c r="N368" s="10">
        <f t="shared" si="5"/>
        <v>2.6418559106829909</v>
      </c>
    </row>
    <row r="369" spans="1:14" x14ac:dyDescent="0.3">
      <c r="A369" t="s">
        <v>79</v>
      </c>
      <c r="B369" t="s">
        <v>80</v>
      </c>
      <c r="C369">
        <v>2018</v>
      </c>
      <c r="D369" s="9">
        <v>0.3854499816894531</v>
      </c>
      <c r="E369" s="9">
        <v>2.4455708985740902E-2</v>
      </c>
      <c r="F369" s="10">
        <v>6430</v>
      </c>
      <c r="G369" s="9">
        <v>0.56817499999999999</v>
      </c>
      <c r="H369" s="11">
        <v>71.376079000000004</v>
      </c>
      <c r="I369" s="10">
        <v>283.66868092161008</v>
      </c>
      <c r="J369" s="9">
        <v>0.51076000381421149</v>
      </c>
      <c r="K369" s="12"/>
      <c r="L369" s="9">
        <v>7.6500000000000005E-3</v>
      </c>
      <c r="M369" s="12">
        <v>0</v>
      </c>
      <c r="N369" s="10">
        <f t="shared" si="5"/>
        <v>3.97428220905228</v>
      </c>
    </row>
    <row r="370" spans="1:14" x14ac:dyDescent="0.3">
      <c r="A370" t="s">
        <v>79</v>
      </c>
      <c r="B370" t="s">
        <v>80</v>
      </c>
      <c r="C370">
        <v>2019</v>
      </c>
      <c r="D370" s="9">
        <v>0.37326999664306643</v>
      </c>
      <c r="E370" s="9">
        <v>2.4783247122456602E-2</v>
      </c>
      <c r="F370" s="10">
        <v>7060</v>
      </c>
      <c r="G370" s="9">
        <v>0.66652400000000001</v>
      </c>
      <c r="H370" s="11">
        <v>71.522271000000003</v>
      </c>
      <c r="I370" s="10">
        <v>332.48130660079988</v>
      </c>
      <c r="J370" s="9">
        <v>0.17250067314920448</v>
      </c>
      <c r="K370" s="12"/>
      <c r="L370" s="9">
        <v>7.1599999999999997E-3</v>
      </c>
      <c r="M370" s="12">
        <v>0</v>
      </c>
      <c r="N370" s="10">
        <f t="shared" si="5"/>
        <v>4.6486402340440209</v>
      </c>
    </row>
    <row r="371" spans="1:14" x14ac:dyDescent="0.3">
      <c r="A371" t="s">
        <v>79</v>
      </c>
      <c r="B371" t="s">
        <v>80</v>
      </c>
      <c r="C371">
        <v>2020</v>
      </c>
      <c r="D371" s="9">
        <v>0.37400001525878912</v>
      </c>
      <c r="E371" s="9">
        <v>2.7182954493880002E-2</v>
      </c>
      <c r="F371" s="10">
        <v>6900</v>
      </c>
      <c r="G371" s="9">
        <v>0.77843699999999993</v>
      </c>
      <c r="H371" s="11">
        <v>71.641484000000005</v>
      </c>
      <c r="I371" s="10">
        <v>372.77260247641772</v>
      </c>
      <c r="J371" s="9">
        <v>0.12411717821313317</v>
      </c>
      <c r="K371" s="12">
        <v>0.46118934426229508</v>
      </c>
      <c r="L371" s="9">
        <v>1.099E-2</v>
      </c>
      <c r="M371" s="12">
        <v>0.46118934426229508</v>
      </c>
      <c r="N371" s="10">
        <f t="shared" si="5"/>
        <v>5.203306543404624</v>
      </c>
    </row>
    <row r="372" spans="1:14" x14ac:dyDescent="0.3">
      <c r="A372" t="s">
        <v>79</v>
      </c>
      <c r="B372" t="s">
        <v>80</v>
      </c>
      <c r="C372">
        <v>2021</v>
      </c>
      <c r="D372" s="9">
        <v>0.37335998535156251</v>
      </c>
      <c r="E372" s="9">
        <v>2.8715584948201499E-2</v>
      </c>
      <c r="F372" s="10">
        <v>7090</v>
      </c>
      <c r="G372" s="9">
        <v>0.85269600000000001</v>
      </c>
      <c r="H372" s="11">
        <v>71.727332000000004</v>
      </c>
      <c r="I372" s="10">
        <v>438.02504936863232</v>
      </c>
      <c r="J372" s="9">
        <v>0.17242894489226956</v>
      </c>
      <c r="K372" s="12">
        <v>0.55726767123287668</v>
      </c>
      <c r="L372" s="9">
        <v>1.2150000000000001E-2</v>
      </c>
      <c r="M372" s="12">
        <v>0.55726767123287668</v>
      </c>
      <c r="N372" s="10">
        <f t="shared" si="5"/>
        <v>6.1068080626313037</v>
      </c>
    </row>
    <row r="373" spans="1:14" x14ac:dyDescent="0.3">
      <c r="A373" t="s">
        <v>79</v>
      </c>
      <c r="B373" t="s">
        <v>80</v>
      </c>
      <c r="C373">
        <v>2022</v>
      </c>
      <c r="D373" s="9">
        <v>0.37335998535156251</v>
      </c>
      <c r="E373" s="9">
        <v>2.80855127277784E-2</v>
      </c>
      <c r="F373" s="10">
        <v>7210</v>
      </c>
      <c r="G373" s="9">
        <v>0.879772</v>
      </c>
      <c r="H373" s="11">
        <v>71.735328999999993</v>
      </c>
      <c r="I373" s="10">
        <v>404.4266440887148</v>
      </c>
      <c r="J373" s="9">
        <v>-7.8309741155539347E-2</v>
      </c>
      <c r="K373" s="12">
        <v>0.27037095890410962</v>
      </c>
      <c r="L373" s="9">
        <v>9.3999999999999986E-3</v>
      </c>
      <c r="M373" s="12">
        <v>0.27037095890410962</v>
      </c>
      <c r="N373" s="10">
        <f t="shared" si="5"/>
        <v>5.637761054789542</v>
      </c>
    </row>
    <row r="374" spans="1:14" x14ac:dyDescent="0.3">
      <c r="A374" t="s">
        <v>79</v>
      </c>
      <c r="B374" t="s">
        <v>80</v>
      </c>
      <c r="C374">
        <v>2023</v>
      </c>
      <c r="D374" s="9"/>
      <c r="E374" s="9">
        <v>2.8584190451883901E-2</v>
      </c>
      <c r="F374" s="10">
        <v>7190</v>
      </c>
      <c r="G374" s="9">
        <v>0.89535300000000007</v>
      </c>
      <c r="H374" s="11">
        <v>71.702434999999994</v>
      </c>
      <c r="I374" s="10">
        <v>423.91565855445867</v>
      </c>
      <c r="J374" s="9">
        <v>4.7657499235397083E-2</v>
      </c>
      <c r="K374" s="12"/>
      <c r="L374" s="9">
        <v>7.3299999999999997E-3</v>
      </c>
      <c r="M374" s="12">
        <v>0</v>
      </c>
      <c r="N374" s="10">
        <f t="shared" si="5"/>
        <v>5.9121514988223023</v>
      </c>
    </row>
    <row r="375" spans="1:14" x14ac:dyDescent="0.3">
      <c r="A375" t="s">
        <v>79</v>
      </c>
      <c r="B375" t="s">
        <v>80</v>
      </c>
      <c r="C375">
        <v>2024</v>
      </c>
      <c r="D375" s="9"/>
      <c r="E375" s="9"/>
      <c r="F375" s="10">
        <v>7100</v>
      </c>
      <c r="G375" s="9">
        <v>0.90867199999999992</v>
      </c>
      <c r="H375" s="11">
        <v>71.668011000000007</v>
      </c>
      <c r="I375" s="10">
        <v>407.06316667695239</v>
      </c>
      <c r="J375" s="9">
        <v>-3.9784155787694342E-2</v>
      </c>
      <c r="K375" s="12"/>
      <c r="L375" s="9">
        <v>7.8100000000000001E-3</v>
      </c>
      <c r="M375" s="12">
        <v>0</v>
      </c>
      <c r="N375" s="10">
        <f t="shared" si="5"/>
        <v>5.6798446196163077</v>
      </c>
    </row>
    <row r="376" spans="1:14" x14ac:dyDescent="0.3">
      <c r="A376" t="s">
        <v>81</v>
      </c>
      <c r="B376" t="s">
        <v>82</v>
      </c>
      <c r="C376">
        <v>2014</v>
      </c>
      <c r="D376" s="9">
        <v>0.42618000030517578</v>
      </c>
      <c r="E376" s="9"/>
      <c r="F376" s="10">
        <v>12670</v>
      </c>
      <c r="G376" s="9"/>
      <c r="H376" s="11">
        <v>77.181883999999997</v>
      </c>
      <c r="J376" s="9"/>
      <c r="K376" s="12"/>
      <c r="L376" s="9">
        <v>9.9010000000000001E-2</v>
      </c>
      <c r="M376" s="12">
        <v>0</v>
      </c>
      <c r="N376" s="10">
        <f t="shared" si="5"/>
        <v>0</v>
      </c>
    </row>
    <row r="377" spans="1:14" x14ac:dyDescent="0.3">
      <c r="A377" t="s">
        <v>81</v>
      </c>
      <c r="B377" t="s">
        <v>82</v>
      </c>
      <c r="C377">
        <v>2015</v>
      </c>
      <c r="D377" s="9">
        <v>0.43330001831054688</v>
      </c>
      <c r="E377" s="9"/>
      <c r="F377" s="10">
        <v>12080</v>
      </c>
      <c r="G377" s="9"/>
      <c r="H377" s="11">
        <v>78.218479000000002</v>
      </c>
      <c r="I377" s="10">
        <v>325.33270083493028</v>
      </c>
      <c r="J377" s="9"/>
      <c r="K377" s="12"/>
      <c r="L377" s="9">
        <v>0.10304000000000001</v>
      </c>
      <c r="M377" s="12">
        <v>0</v>
      </c>
      <c r="N377" s="10">
        <f t="shared" si="5"/>
        <v>4.1592818601718182</v>
      </c>
    </row>
    <row r="378" spans="1:14" x14ac:dyDescent="0.3">
      <c r="A378" t="s">
        <v>81</v>
      </c>
      <c r="B378" t="s">
        <v>82</v>
      </c>
      <c r="C378">
        <v>2016</v>
      </c>
      <c r="D378" s="9">
        <v>0.43959999084472662</v>
      </c>
      <c r="E378" s="9"/>
      <c r="F378" s="10">
        <v>11350</v>
      </c>
      <c r="G378" s="9"/>
      <c r="H378" s="11">
        <v>79.277962000000002</v>
      </c>
      <c r="I378" s="10">
        <v>355.28673176675358</v>
      </c>
      <c r="J378" s="9">
        <v>9.2303217903867418E-2</v>
      </c>
      <c r="K378" s="12"/>
      <c r="L378" s="9">
        <v>0.10898999999999999</v>
      </c>
      <c r="M378" s="12">
        <v>0</v>
      </c>
      <c r="N378" s="10">
        <f t="shared" si="5"/>
        <v>4.4815321030421238</v>
      </c>
    </row>
    <row r="379" spans="1:14" x14ac:dyDescent="0.3">
      <c r="A379" t="s">
        <v>81</v>
      </c>
      <c r="B379" t="s">
        <v>82</v>
      </c>
      <c r="C379">
        <v>2017</v>
      </c>
      <c r="D379" s="9">
        <v>0.44123001098632814</v>
      </c>
      <c r="E379" s="9"/>
      <c r="F379" s="10">
        <v>11140</v>
      </c>
      <c r="G379" s="9"/>
      <c r="H379" s="11">
        <v>80.312697999999997</v>
      </c>
      <c r="I379" s="10">
        <v>393.98014149038812</v>
      </c>
      <c r="J379" s="9">
        <v>0.10932040786370112</v>
      </c>
      <c r="K379" s="12"/>
      <c r="L379" s="9">
        <v>0.10919000000000001</v>
      </c>
      <c r="M379" s="12">
        <v>0</v>
      </c>
      <c r="N379" s="10">
        <f t="shared" si="5"/>
        <v>4.9055772163249722</v>
      </c>
    </row>
    <row r="380" spans="1:14" x14ac:dyDescent="0.3">
      <c r="A380" t="s">
        <v>81</v>
      </c>
      <c r="B380" t="s">
        <v>82</v>
      </c>
      <c r="C380">
        <v>2018</v>
      </c>
      <c r="D380" s="9">
        <v>0.4425</v>
      </c>
      <c r="E380" s="9"/>
      <c r="F380" s="10">
        <v>10760</v>
      </c>
      <c r="G380" s="9"/>
      <c r="H380" s="11">
        <v>81.407203999999993</v>
      </c>
      <c r="I380" s="10">
        <v>397.0737105270203</v>
      </c>
      <c r="J380" s="9">
        <v>9.0834879562888826E-3</v>
      </c>
      <c r="K380" s="12"/>
      <c r="L380" s="9">
        <v>0.10955999999999999</v>
      </c>
      <c r="M380" s="12">
        <v>0</v>
      </c>
      <c r="N380" s="10">
        <f t="shared" si="5"/>
        <v>4.8776237361870374</v>
      </c>
    </row>
    <row r="381" spans="1:14" x14ac:dyDescent="0.3">
      <c r="A381" t="s">
        <v>81</v>
      </c>
      <c r="B381" t="s">
        <v>82</v>
      </c>
      <c r="C381">
        <v>2019</v>
      </c>
      <c r="D381" s="9">
        <v>0.4308599853515625</v>
      </c>
      <c r="E381" s="9"/>
      <c r="F381" s="10">
        <v>9970</v>
      </c>
      <c r="G381" s="9"/>
      <c r="H381" s="11">
        <v>82.579440000000005</v>
      </c>
      <c r="I381" s="10">
        <v>427.05945674092152</v>
      </c>
      <c r="J381" s="9">
        <v>7.5906339147987723E-2</v>
      </c>
      <c r="K381" s="12"/>
      <c r="L381" s="9">
        <v>0.13730000000000001</v>
      </c>
      <c r="M381" s="12">
        <v>0</v>
      </c>
      <c r="N381" s="10">
        <f t="shared" si="5"/>
        <v>5.171498580529506</v>
      </c>
    </row>
    <row r="382" spans="1:14" x14ac:dyDescent="0.3">
      <c r="A382" t="s">
        <v>81</v>
      </c>
      <c r="B382" t="s">
        <v>82</v>
      </c>
      <c r="C382">
        <v>2020</v>
      </c>
      <c r="D382" s="9">
        <v>0.44521999359130859</v>
      </c>
      <c r="E382" s="9"/>
      <c r="F382" s="10">
        <v>9330</v>
      </c>
      <c r="G382" s="9"/>
      <c r="H382" s="11">
        <v>83.384680000000003</v>
      </c>
      <c r="I382" s="10">
        <v>463.067621974318</v>
      </c>
      <c r="J382" s="9">
        <v>8.7153589338720083E-2</v>
      </c>
      <c r="K382" s="12">
        <v>0.54571475409836068</v>
      </c>
      <c r="L382" s="9">
        <v>0.13147999999999999</v>
      </c>
      <c r="M382" s="12">
        <v>0.54571475409836068</v>
      </c>
      <c r="N382" s="10">
        <f t="shared" si="5"/>
        <v>5.5533896871022108</v>
      </c>
    </row>
    <row r="383" spans="1:14" x14ac:dyDescent="0.3">
      <c r="A383" t="s">
        <v>81</v>
      </c>
      <c r="B383" t="s">
        <v>82</v>
      </c>
      <c r="C383">
        <v>2021</v>
      </c>
      <c r="D383" s="9">
        <v>0.43723999023437499</v>
      </c>
      <c r="E383" s="9"/>
      <c r="F383" s="10">
        <v>10240</v>
      </c>
      <c r="G383" s="9"/>
      <c r="H383" s="11">
        <v>84.147317999999999</v>
      </c>
      <c r="I383" s="10">
        <v>575.11519691965236</v>
      </c>
      <c r="J383" s="9">
        <v>0.23920169253471424</v>
      </c>
      <c r="K383" s="12">
        <v>0.55527232876712329</v>
      </c>
      <c r="L383" s="9">
        <v>0.11968999999999999</v>
      </c>
      <c r="M383" s="12">
        <v>0.55527232876712329</v>
      </c>
      <c r="N383" s="10">
        <f t="shared" si="5"/>
        <v>6.8346230229185956</v>
      </c>
    </row>
    <row r="384" spans="1:14" x14ac:dyDescent="0.3">
      <c r="A384" t="s">
        <v>81</v>
      </c>
      <c r="B384" t="s">
        <v>82</v>
      </c>
      <c r="C384">
        <v>2022</v>
      </c>
      <c r="D384" s="9">
        <v>0.45880001068115228</v>
      </c>
      <c r="E384" s="9"/>
      <c r="F384" s="10">
        <v>10870</v>
      </c>
      <c r="G384" s="9"/>
      <c r="H384" s="11">
        <v>84.979912999999996</v>
      </c>
      <c r="I384" s="10">
        <v>594.71428883729686</v>
      </c>
      <c r="J384" s="9">
        <v>3.2280478981034921E-2</v>
      </c>
      <c r="K384" s="12">
        <v>0.16243287671232881</v>
      </c>
      <c r="L384" s="9">
        <v>0.10464999999999999</v>
      </c>
      <c r="M384" s="12">
        <v>0.16243287671232881</v>
      </c>
      <c r="N384" s="10">
        <f t="shared" si="5"/>
        <v>6.9982925122234105</v>
      </c>
    </row>
    <row r="385" spans="1:14" x14ac:dyDescent="0.3">
      <c r="A385" t="s">
        <v>81</v>
      </c>
      <c r="B385" t="s">
        <v>82</v>
      </c>
      <c r="C385">
        <v>2023</v>
      </c>
      <c r="D385" s="9"/>
      <c r="E385" s="9"/>
      <c r="F385" s="10">
        <v>11980</v>
      </c>
      <c r="G385" s="9"/>
      <c r="H385" s="11">
        <v>85.325964999999997</v>
      </c>
      <c r="I385" s="10">
        <v>680.25312965064848</v>
      </c>
      <c r="J385" s="9">
        <v>0.1432515590908181</v>
      </c>
      <c r="K385" s="12"/>
      <c r="L385" s="9">
        <v>9.3880000000000005E-2</v>
      </c>
      <c r="M385" s="12">
        <v>0</v>
      </c>
      <c r="N385" s="10">
        <f t="shared" si="5"/>
        <v>7.9724047615593738</v>
      </c>
    </row>
    <row r="386" spans="1:14" x14ac:dyDescent="0.3">
      <c r="A386" t="s">
        <v>81</v>
      </c>
      <c r="B386" t="s">
        <v>82</v>
      </c>
      <c r="C386">
        <v>2024</v>
      </c>
      <c r="D386" s="9"/>
      <c r="E386" s="9"/>
      <c r="F386" s="10">
        <v>13460</v>
      </c>
      <c r="G386" s="9"/>
      <c r="H386" s="11">
        <v>85.518660999999994</v>
      </c>
      <c r="I386" s="10">
        <v>718.60809121378873</v>
      </c>
      <c r="J386" s="9">
        <v>5.6350577763769172E-2</v>
      </c>
      <c r="K386" s="12"/>
      <c r="L386" s="9">
        <v>8.8000000000000009E-2</v>
      </c>
      <c r="M386" s="12">
        <v>0</v>
      </c>
      <c r="N386" s="10">
        <f t="shared" si="5"/>
        <v>8.4029389937921124</v>
      </c>
    </row>
    <row r="387" spans="1:14" x14ac:dyDescent="0.3">
      <c r="A387" t="s">
        <v>83</v>
      </c>
      <c r="B387" t="s">
        <v>84</v>
      </c>
      <c r="C387">
        <v>2014</v>
      </c>
      <c r="D387" s="9">
        <v>0.32587001800537108</v>
      </c>
      <c r="E387" s="9">
        <v>4.0054187700242203E-2</v>
      </c>
      <c r="F387" s="10">
        <v>53360</v>
      </c>
      <c r="G387" s="9">
        <v>0.90400000000000003</v>
      </c>
      <c r="H387" s="11">
        <v>8.0594400000000004</v>
      </c>
      <c r="J387" s="9"/>
      <c r="K387" s="12"/>
      <c r="L387" s="9">
        <v>1.9990000000000001E-2</v>
      </c>
      <c r="M387" s="12">
        <v>0</v>
      </c>
      <c r="N387" s="10">
        <f t="shared" si="5"/>
        <v>0</v>
      </c>
    </row>
    <row r="388" spans="1:14" x14ac:dyDescent="0.3">
      <c r="A388" t="s">
        <v>83</v>
      </c>
      <c r="B388" t="s">
        <v>84</v>
      </c>
      <c r="C388">
        <v>2015</v>
      </c>
      <c r="D388" s="9">
        <v>0.32587001800537108</v>
      </c>
      <c r="E388" s="9">
        <v>4.09302954675268E-2</v>
      </c>
      <c r="F388" s="10">
        <v>49990</v>
      </c>
      <c r="G388" s="9">
        <v>0.90500000000000003</v>
      </c>
      <c r="H388" s="11">
        <v>8.5052369999999993</v>
      </c>
      <c r="I388" s="10">
        <v>140.4102864981748</v>
      </c>
      <c r="J388" s="9"/>
      <c r="K388" s="12"/>
      <c r="L388" s="9">
        <v>1.7929999999999998E-2</v>
      </c>
      <c r="M388" s="12">
        <v>0</v>
      </c>
      <c r="N388" s="10">
        <f t="shared" si="5"/>
        <v>16.508685942340563</v>
      </c>
    </row>
    <row r="389" spans="1:14" x14ac:dyDescent="0.3">
      <c r="A389" t="s">
        <v>83</v>
      </c>
      <c r="B389" t="s">
        <v>84</v>
      </c>
      <c r="C389">
        <v>2016</v>
      </c>
      <c r="D389" s="9">
        <v>0.31034999847412109</v>
      </c>
      <c r="E389" s="9">
        <v>4.1447304555739702E-2</v>
      </c>
      <c r="F389" s="10">
        <v>46180</v>
      </c>
      <c r="G389" s="9">
        <v>0.90599999999999992</v>
      </c>
      <c r="H389" s="11">
        <v>8.9350950000000005</v>
      </c>
      <c r="I389" s="10">
        <v>152.4451517055582</v>
      </c>
      <c r="J389" s="9">
        <v>8.5942009352551585E-2</v>
      </c>
      <c r="K389" s="12"/>
      <c r="L389" s="9">
        <v>1.6399999999999998E-2</v>
      </c>
      <c r="M389" s="12">
        <v>0</v>
      </c>
      <c r="N389" s="10">
        <f t="shared" si="5"/>
        <v>17.061391256115151</v>
      </c>
    </row>
    <row r="390" spans="1:14" x14ac:dyDescent="0.3">
      <c r="A390" t="s">
        <v>83</v>
      </c>
      <c r="B390" t="s">
        <v>84</v>
      </c>
      <c r="C390">
        <v>2017</v>
      </c>
      <c r="D390" s="9">
        <v>0.29483999252319337</v>
      </c>
      <c r="E390" s="9">
        <v>4.28216735573018E-2</v>
      </c>
      <c r="F390" s="10">
        <v>42230</v>
      </c>
      <c r="G390" s="9">
        <v>0.94819900000000001</v>
      </c>
      <c r="H390" s="11">
        <v>9.2232249999999993</v>
      </c>
      <c r="I390" s="10">
        <v>165.89764526301971</v>
      </c>
      <c r="J390" s="9">
        <v>8.8649969497492487E-2</v>
      </c>
      <c r="K390" s="12"/>
      <c r="L390" s="9">
        <v>2.4620000000000003E-2</v>
      </c>
      <c r="M390" s="12">
        <v>0</v>
      </c>
      <c r="N390" s="10">
        <f t="shared" si="5"/>
        <v>17.986945484146784</v>
      </c>
    </row>
    <row r="391" spans="1:14" x14ac:dyDescent="0.3">
      <c r="A391" t="s">
        <v>83</v>
      </c>
      <c r="B391" t="s">
        <v>84</v>
      </c>
      <c r="C391">
        <v>2018</v>
      </c>
      <c r="D391" s="9">
        <v>0.279330005645752</v>
      </c>
      <c r="E391" s="9">
        <v>4.1040357364753102E-2</v>
      </c>
      <c r="F391" s="10">
        <v>44570</v>
      </c>
      <c r="G391" s="9">
        <v>0.98450000000000004</v>
      </c>
      <c r="H391" s="11">
        <v>9.3467009999999995</v>
      </c>
      <c r="I391" s="10">
        <v>216.09112107330219</v>
      </c>
      <c r="J391" s="9">
        <v>0.30414835579344413</v>
      </c>
      <c r="K391" s="12"/>
      <c r="L391" s="9">
        <v>2.2360000000000001E-2</v>
      </c>
      <c r="M391" s="12">
        <v>0</v>
      </c>
      <c r="N391" s="10">
        <f t="shared" ref="N391:N430" si="6">I391/H391</f>
        <v>23.119507200808307</v>
      </c>
    </row>
    <row r="392" spans="1:14" x14ac:dyDescent="0.3">
      <c r="A392" t="s">
        <v>83</v>
      </c>
      <c r="B392" t="s">
        <v>84</v>
      </c>
      <c r="C392">
        <v>2019</v>
      </c>
      <c r="D392" s="9">
        <v>0.26381000518798831</v>
      </c>
      <c r="E392" s="9">
        <v>4.2960418603281203E-2</v>
      </c>
      <c r="F392" s="10">
        <v>46690</v>
      </c>
      <c r="G392" s="9">
        <v>0.99150000000000005</v>
      </c>
      <c r="H392" s="11">
        <v>9.4457850000000008</v>
      </c>
      <c r="I392" s="10">
        <v>245.6000870075012</v>
      </c>
      <c r="J392" s="9">
        <v>0.13696959539954401</v>
      </c>
      <c r="K392" s="12"/>
      <c r="L392" s="9">
        <v>2.3310000000000001E-2</v>
      </c>
      <c r="M392" s="12">
        <v>0</v>
      </c>
      <c r="N392" s="10">
        <f t="shared" si="6"/>
        <v>26.001024478907912</v>
      </c>
    </row>
    <row r="393" spans="1:14" x14ac:dyDescent="0.3">
      <c r="A393" t="s">
        <v>83</v>
      </c>
      <c r="B393" t="s">
        <v>84</v>
      </c>
      <c r="C393">
        <v>2020</v>
      </c>
      <c r="D393" s="9">
        <v>0.26381000518798831</v>
      </c>
      <c r="E393" s="9">
        <v>4.9651832735158503E-2</v>
      </c>
      <c r="F393" s="10">
        <v>41310</v>
      </c>
      <c r="G393" s="9">
        <v>1</v>
      </c>
      <c r="H393" s="11">
        <v>9.4010379999999998</v>
      </c>
      <c r="I393" s="10">
        <v>246.6225415417976</v>
      </c>
      <c r="J393" s="9">
        <v>6.7904425466318585E-3</v>
      </c>
      <c r="K393" s="12">
        <v>0.50408879781420768</v>
      </c>
      <c r="L393" s="9">
        <v>4.2939999999999999E-2</v>
      </c>
      <c r="M393" s="12">
        <v>0.50408879781420768</v>
      </c>
      <c r="N393" s="10">
        <f t="shared" si="6"/>
        <v>26.233543736531818</v>
      </c>
    </row>
    <row r="394" spans="1:14" x14ac:dyDescent="0.3">
      <c r="A394" t="s">
        <v>83</v>
      </c>
      <c r="B394" t="s">
        <v>84</v>
      </c>
      <c r="C394">
        <v>2021</v>
      </c>
      <c r="D394" s="9">
        <v>0.26381000518798831</v>
      </c>
      <c r="E394" s="9">
        <v>4.7283011583355697E-2</v>
      </c>
      <c r="F394" s="10">
        <v>43230</v>
      </c>
      <c r="G394" s="9">
        <v>1</v>
      </c>
      <c r="H394" s="11">
        <v>9.5751519999999992</v>
      </c>
      <c r="I394" s="10">
        <v>296.17576678089591</v>
      </c>
      <c r="J394" s="9">
        <v>0.19825244178221912</v>
      </c>
      <c r="K394" s="12">
        <v>0.51083178082191782</v>
      </c>
      <c r="L394" s="9">
        <v>3.1050000000000001E-2</v>
      </c>
      <c r="M394" s="12">
        <v>0.51083178082191782</v>
      </c>
      <c r="N394" s="10">
        <f t="shared" si="6"/>
        <v>30.9317039333575</v>
      </c>
    </row>
    <row r="395" spans="1:14" x14ac:dyDescent="0.3">
      <c r="A395" t="s">
        <v>83</v>
      </c>
      <c r="B395" t="s">
        <v>84</v>
      </c>
      <c r="C395">
        <v>2022</v>
      </c>
      <c r="D395" s="9">
        <v>0.26381000518798831</v>
      </c>
      <c r="E395" s="9">
        <v>5.0272389582969902E-2</v>
      </c>
      <c r="F395" s="10">
        <v>46990</v>
      </c>
      <c r="G395" s="9">
        <v>1</v>
      </c>
      <c r="H395" s="11">
        <v>10.074977000000001</v>
      </c>
      <c r="I395" s="10">
        <v>337.57128230493561</v>
      </c>
      <c r="J395" s="9">
        <v>0.13778487717397581</v>
      </c>
      <c r="K395" s="12">
        <v>0.3120030136986302</v>
      </c>
      <c r="L395" s="9">
        <v>2.8719999999999999E-2</v>
      </c>
      <c r="M395" s="12">
        <v>0.3120030136986302</v>
      </c>
      <c r="N395" s="10">
        <f t="shared" si="6"/>
        <v>33.505910961874712</v>
      </c>
    </row>
    <row r="396" spans="1:14" x14ac:dyDescent="0.3">
      <c r="A396" t="s">
        <v>83</v>
      </c>
      <c r="B396" t="s">
        <v>84</v>
      </c>
      <c r="C396">
        <v>2023</v>
      </c>
      <c r="D396" s="9"/>
      <c r="E396" s="9">
        <v>4.8087376332749197E-2</v>
      </c>
      <c r="F396" s="10">
        <v>51100</v>
      </c>
      <c r="G396" s="9">
        <v>1</v>
      </c>
      <c r="H396" s="11">
        <v>10.483751</v>
      </c>
      <c r="I396" s="10">
        <v>336.04296670526293</v>
      </c>
      <c r="J396" s="9">
        <v>-5.0323885515174416E-3</v>
      </c>
      <c r="K396" s="12"/>
      <c r="L396" s="9">
        <v>2.1509999999999998E-2</v>
      </c>
      <c r="M396" s="12">
        <v>0</v>
      </c>
      <c r="N396" s="10">
        <f t="shared" si="6"/>
        <v>32.053695924794752</v>
      </c>
    </row>
    <row r="397" spans="1:14" x14ac:dyDescent="0.3">
      <c r="A397" t="s">
        <v>83</v>
      </c>
      <c r="B397" t="s">
        <v>84</v>
      </c>
      <c r="C397">
        <v>2024</v>
      </c>
      <c r="D397" s="9"/>
      <c r="E397" s="9"/>
      <c r="F397" s="10">
        <v>51550</v>
      </c>
      <c r="G397" s="9">
        <v>1</v>
      </c>
      <c r="H397" s="11">
        <v>10.9864</v>
      </c>
      <c r="I397" s="10">
        <v>341.89629656129381</v>
      </c>
      <c r="J397" s="9">
        <v>1.7386817783636266E-2</v>
      </c>
      <c r="K397" s="12"/>
      <c r="L397" s="9">
        <v>2.1600000000000001E-2</v>
      </c>
      <c r="M397" s="12">
        <v>0</v>
      </c>
      <c r="N397" s="10">
        <f t="shared" si="6"/>
        <v>31.119957088882057</v>
      </c>
    </row>
    <row r="398" spans="1:14" x14ac:dyDescent="0.3">
      <c r="A398" t="s">
        <v>85</v>
      </c>
      <c r="B398" t="s">
        <v>86</v>
      </c>
      <c r="C398">
        <v>2014</v>
      </c>
      <c r="D398" s="9">
        <v>0.3269400024414062</v>
      </c>
      <c r="E398" s="9">
        <v>5.3658998979436399E-2</v>
      </c>
      <c r="F398" s="10">
        <v>44780</v>
      </c>
      <c r="G398" s="9">
        <v>0.91613299999999998</v>
      </c>
      <c r="H398" s="11">
        <v>64.62</v>
      </c>
      <c r="J398" s="9"/>
      <c r="K398" s="12"/>
      <c r="L398" s="9">
        <v>6.3979999999999995E-2</v>
      </c>
      <c r="M398" s="12">
        <v>0</v>
      </c>
      <c r="N398" s="10">
        <f t="shared" si="6"/>
        <v>0</v>
      </c>
    </row>
    <row r="399" spans="1:14" x14ac:dyDescent="0.3">
      <c r="A399" t="s">
        <v>85</v>
      </c>
      <c r="B399" t="s">
        <v>86</v>
      </c>
      <c r="C399">
        <v>2015</v>
      </c>
      <c r="D399" s="9">
        <v>0.3313800048828125</v>
      </c>
      <c r="E399" s="9">
        <v>5.4659611091947301E-2</v>
      </c>
      <c r="F399" s="10">
        <v>44630</v>
      </c>
      <c r="G399" s="9">
        <v>0.9200029999999999</v>
      </c>
      <c r="H399" s="11">
        <v>65.087999999999994</v>
      </c>
      <c r="I399" s="10">
        <v>1156.9831624210051</v>
      </c>
      <c r="J399" s="9"/>
      <c r="K399" s="12"/>
      <c r="L399" s="9">
        <v>5.5519999999999993E-2</v>
      </c>
      <c r="M399" s="12">
        <v>0</v>
      </c>
      <c r="N399" s="10">
        <f t="shared" si="6"/>
        <v>17.775675430509544</v>
      </c>
    </row>
    <row r="400" spans="1:14" x14ac:dyDescent="0.3">
      <c r="A400" t="s">
        <v>85</v>
      </c>
      <c r="B400" t="s">
        <v>86</v>
      </c>
      <c r="C400">
        <v>2016</v>
      </c>
      <c r="D400" s="9">
        <v>0.33334999084472661</v>
      </c>
      <c r="E400" s="9">
        <v>5.6128097368401103E-2</v>
      </c>
      <c r="F400" s="10">
        <v>43310</v>
      </c>
      <c r="G400" s="9">
        <v>0.94775799999999999</v>
      </c>
      <c r="H400" s="11">
        <v>65.606999999999999</v>
      </c>
      <c r="I400" s="10">
        <v>1387.5175908536089</v>
      </c>
      <c r="J400" s="9">
        <v>0.19950869868049548</v>
      </c>
      <c r="K400" s="12"/>
      <c r="L400" s="9">
        <v>4.9089999999999995E-2</v>
      </c>
      <c r="M400" s="12">
        <v>0</v>
      </c>
      <c r="N400" s="10">
        <f t="shared" si="6"/>
        <v>21.148926042245627</v>
      </c>
    </row>
    <row r="401" spans="1:14" x14ac:dyDescent="0.3">
      <c r="A401" t="s">
        <v>85</v>
      </c>
      <c r="B401" t="s">
        <v>86</v>
      </c>
      <c r="C401">
        <v>2017</v>
      </c>
      <c r="D401" s="9">
        <v>0.33089000701904298</v>
      </c>
      <c r="E401" s="9">
        <v>5.63174731331261E-2</v>
      </c>
      <c r="F401" s="10">
        <v>42140</v>
      </c>
      <c r="G401" s="9">
        <v>0.90424599999999999</v>
      </c>
      <c r="H401" s="11">
        <v>65.965999999999994</v>
      </c>
      <c r="I401" s="10">
        <v>1525.8989065258979</v>
      </c>
      <c r="J401" s="9">
        <v>0.10014245303302771</v>
      </c>
      <c r="K401" s="12"/>
      <c r="L401" s="9">
        <v>4.5010000000000001E-2</v>
      </c>
      <c r="M401" s="12">
        <v>0</v>
      </c>
      <c r="N401" s="10">
        <f t="shared" si="6"/>
        <v>23.1315966789846</v>
      </c>
    </row>
    <row r="402" spans="1:14" x14ac:dyDescent="0.3">
      <c r="A402" t="s">
        <v>85</v>
      </c>
      <c r="B402" t="s">
        <v>86</v>
      </c>
      <c r="C402">
        <v>2018</v>
      </c>
      <c r="D402" s="9">
        <v>0.32626998901367188</v>
      </c>
      <c r="E402" s="9">
        <v>5.6980619875850597E-2</v>
      </c>
      <c r="F402" s="10">
        <v>42540</v>
      </c>
      <c r="G402" s="9">
        <v>0.90691999999999995</v>
      </c>
      <c r="H402" s="11">
        <v>66.289000000000001</v>
      </c>
      <c r="I402" s="10">
        <v>1771.5983608839961</v>
      </c>
      <c r="J402" s="9">
        <v>0.16243801797884561</v>
      </c>
      <c r="K402" s="12"/>
      <c r="L402" s="9">
        <v>4.1449999999999994E-2</v>
      </c>
      <c r="M402" s="12">
        <v>0</v>
      </c>
      <c r="N402" s="10">
        <f t="shared" si="6"/>
        <v>26.72537466071288</v>
      </c>
    </row>
    <row r="403" spans="1:14" x14ac:dyDescent="0.3">
      <c r="A403" t="s">
        <v>85</v>
      </c>
      <c r="B403" t="s">
        <v>86</v>
      </c>
      <c r="C403">
        <v>2019</v>
      </c>
      <c r="D403" s="9">
        <v>0.33692001342773437</v>
      </c>
      <c r="E403" s="9">
        <v>5.85398273685135E-2</v>
      </c>
      <c r="F403" s="10">
        <v>43640</v>
      </c>
      <c r="G403" s="9">
        <v>0.92516599999999993</v>
      </c>
      <c r="H403" s="11">
        <v>66.631</v>
      </c>
      <c r="I403" s="10">
        <v>1942.0783616714541</v>
      </c>
      <c r="J403" s="9">
        <v>9.6626501393722641E-2</v>
      </c>
      <c r="K403" s="12"/>
      <c r="L403" s="9">
        <v>3.6569999999999998E-2</v>
      </c>
      <c r="M403" s="12">
        <v>0</v>
      </c>
      <c r="N403" s="10">
        <f t="shared" si="6"/>
        <v>29.146768946458167</v>
      </c>
    </row>
    <row r="404" spans="1:14" x14ac:dyDescent="0.3">
      <c r="A404" t="s">
        <v>85</v>
      </c>
      <c r="B404" t="s">
        <v>86</v>
      </c>
      <c r="C404">
        <v>2020</v>
      </c>
      <c r="D404" s="9">
        <v>0.32859001159667967</v>
      </c>
      <c r="E404" s="9">
        <v>7.1750146525469197E-2</v>
      </c>
      <c r="F404" s="10">
        <v>39340</v>
      </c>
      <c r="G404" s="9">
        <v>0.94818200000000008</v>
      </c>
      <c r="H404" s="11">
        <v>66.744</v>
      </c>
      <c r="I404" s="10">
        <v>2205.6916601662078</v>
      </c>
      <c r="J404" s="9">
        <v>0.13870934064742735</v>
      </c>
      <c r="K404" s="12">
        <v>0.56908743169398901</v>
      </c>
      <c r="L404" s="9">
        <v>4.4720000000000003E-2</v>
      </c>
      <c r="M404" s="12">
        <v>0.56908743169398901</v>
      </c>
      <c r="N404" s="10">
        <f t="shared" si="6"/>
        <v>33.047040335703699</v>
      </c>
    </row>
    <row r="405" spans="1:14" x14ac:dyDescent="0.3">
      <c r="A405" t="s">
        <v>85</v>
      </c>
      <c r="B405" t="s">
        <v>86</v>
      </c>
      <c r="C405">
        <v>2021</v>
      </c>
      <c r="D405" s="9">
        <v>0.32790000915527334</v>
      </c>
      <c r="E405" s="9">
        <v>7.14804029763009E-2</v>
      </c>
      <c r="F405" s="10">
        <v>45870</v>
      </c>
      <c r="G405" s="9">
        <v>0.96196499999999996</v>
      </c>
      <c r="H405" s="11">
        <v>66.983999999999995</v>
      </c>
      <c r="I405" s="10">
        <v>2579.537571860028</v>
      </c>
      <c r="J405" s="9">
        <v>0.16688653111526475</v>
      </c>
      <c r="K405" s="12">
        <v>0.57815643835616426</v>
      </c>
      <c r="L405" s="9">
        <v>4.8639999999999996E-2</v>
      </c>
      <c r="M405" s="12">
        <v>0.57815643835616426</v>
      </c>
      <c r="N405" s="10">
        <f t="shared" si="6"/>
        <v>38.509757133942855</v>
      </c>
    </row>
    <row r="406" spans="1:14" x14ac:dyDescent="0.3">
      <c r="A406" t="s">
        <v>85</v>
      </c>
      <c r="B406" t="s">
        <v>86</v>
      </c>
      <c r="C406">
        <v>2022</v>
      </c>
      <c r="D406" s="9">
        <v>0.32483001708984383</v>
      </c>
      <c r="E406" s="9">
        <v>7.3395761298108805E-2</v>
      </c>
      <c r="F406" s="10">
        <v>49720</v>
      </c>
      <c r="G406" s="9">
        <v>0.96298899999999998</v>
      </c>
      <c r="H406" s="11">
        <v>67.603999999999999</v>
      </c>
      <c r="I406" s="10">
        <v>2358.6920959332251</v>
      </c>
      <c r="J406" s="9">
        <v>-8.7204313923592625E-2</v>
      </c>
      <c r="K406" s="12">
        <v>0.14444301369863011</v>
      </c>
      <c r="L406" s="9">
        <v>3.7679999999999998E-2</v>
      </c>
      <c r="M406" s="12">
        <v>0.14444301369863011</v>
      </c>
      <c r="N406" s="10">
        <f t="shared" si="6"/>
        <v>34.889830423247517</v>
      </c>
    </row>
    <row r="407" spans="1:14" x14ac:dyDescent="0.3">
      <c r="A407" t="s">
        <v>85</v>
      </c>
      <c r="B407" t="s">
        <v>86</v>
      </c>
      <c r="C407">
        <v>2023</v>
      </c>
      <c r="D407" s="9"/>
      <c r="E407" s="9">
        <v>7.4353858941700601E-2</v>
      </c>
      <c r="F407" s="10">
        <v>48830</v>
      </c>
      <c r="G407" s="9">
        <v>0.96298799999999996</v>
      </c>
      <c r="H407" s="11">
        <v>68.492000000000004</v>
      </c>
      <c r="I407" s="10">
        <v>2292.3893265332808</v>
      </c>
      <c r="J407" s="9">
        <v>-2.8603011092569242E-2</v>
      </c>
      <c r="K407" s="12"/>
      <c r="L407" s="9">
        <v>4.0250000000000001E-2</v>
      </c>
      <c r="M407" s="12">
        <v>0</v>
      </c>
      <c r="N407" s="10">
        <f t="shared" si="6"/>
        <v>33.469446454086324</v>
      </c>
    </row>
    <row r="408" spans="1:14" x14ac:dyDescent="0.3">
      <c r="A408" t="s">
        <v>85</v>
      </c>
      <c r="B408" t="s">
        <v>86</v>
      </c>
      <c r="C408">
        <v>2024</v>
      </c>
      <c r="D408" s="9"/>
      <c r="E408" s="9"/>
      <c r="F408" s="10">
        <v>49470</v>
      </c>
      <c r="G408" s="9"/>
      <c r="H408" s="11">
        <v>69.225999999999999</v>
      </c>
      <c r="I408" s="10">
        <v>2471.9265138362198</v>
      </c>
      <c r="J408" s="9">
        <v>7.8285333023016213E-2</v>
      </c>
      <c r="K408" s="12"/>
      <c r="L408" s="9">
        <v>4.3609999999999996E-2</v>
      </c>
      <c r="M408" s="12">
        <v>0</v>
      </c>
      <c r="N408" s="10">
        <f t="shared" si="6"/>
        <v>35.708065088784849</v>
      </c>
    </row>
    <row r="409" spans="1:14" x14ac:dyDescent="0.3">
      <c r="A409" t="s">
        <v>87</v>
      </c>
      <c r="B409" t="s">
        <v>88</v>
      </c>
      <c r="C409">
        <v>2014</v>
      </c>
      <c r="D409" s="9">
        <v>0.40844001770019533</v>
      </c>
      <c r="E409" s="9">
        <v>4.5700241073518402E-2</v>
      </c>
      <c r="F409" s="10">
        <v>55600</v>
      </c>
      <c r="G409" s="9">
        <v>0.73</v>
      </c>
      <c r="H409" s="11">
        <v>319.25756000000001</v>
      </c>
      <c r="J409" s="9"/>
      <c r="K409" s="12"/>
      <c r="L409" s="9">
        <v>6.1679999999999999E-2</v>
      </c>
      <c r="M409" s="12">
        <v>0</v>
      </c>
      <c r="N409" s="10">
        <f t="shared" si="6"/>
        <v>0</v>
      </c>
    </row>
    <row r="410" spans="1:14" x14ac:dyDescent="0.3">
      <c r="A410" t="s">
        <v>87</v>
      </c>
      <c r="B410" t="s">
        <v>88</v>
      </c>
      <c r="C410">
        <v>2015</v>
      </c>
      <c r="D410" s="9">
        <v>0.41712001800537107</v>
      </c>
      <c r="E410" s="9">
        <v>4.56108545179333E-2</v>
      </c>
      <c r="F410" s="10">
        <v>56400</v>
      </c>
      <c r="G410" s="9">
        <v>0.74554199999999993</v>
      </c>
      <c r="H410" s="11">
        <v>321.81512099999998</v>
      </c>
      <c r="I410" s="10">
        <v>18019.761423754258</v>
      </c>
      <c r="J410" s="9"/>
      <c r="K410" s="12"/>
      <c r="L410" s="9">
        <v>5.28E-2</v>
      </c>
      <c r="M410" s="12">
        <v>0</v>
      </c>
      <c r="N410" s="10">
        <f t="shared" si="6"/>
        <v>55.994141505098078</v>
      </c>
    </row>
    <row r="411" spans="1:14" x14ac:dyDescent="0.3">
      <c r="A411" t="s">
        <v>87</v>
      </c>
      <c r="B411" t="s">
        <v>88</v>
      </c>
      <c r="C411">
        <v>2016</v>
      </c>
      <c r="D411" s="9">
        <v>0.41426998138427729</v>
      </c>
      <c r="E411" s="9">
        <v>4.5715901346822102E-2</v>
      </c>
      <c r="F411" s="10">
        <v>56900</v>
      </c>
      <c r="G411" s="9">
        <v>0.85544399999999998</v>
      </c>
      <c r="H411" s="11">
        <v>324.35334</v>
      </c>
      <c r="I411" s="10">
        <v>21138.36180420603</v>
      </c>
      <c r="J411" s="9">
        <v>0.17331394660320343</v>
      </c>
      <c r="K411" s="12"/>
      <c r="L411" s="9">
        <v>4.8689999999999997E-2</v>
      </c>
      <c r="M411" s="12">
        <v>0</v>
      </c>
      <c r="N411" s="10">
        <f t="shared" si="6"/>
        <v>65.170785058683322</v>
      </c>
    </row>
    <row r="412" spans="1:14" x14ac:dyDescent="0.3">
      <c r="A412" t="s">
        <v>87</v>
      </c>
      <c r="B412" t="s">
        <v>88</v>
      </c>
      <c r="C412">
        <v>2017</v>
      </c>
      <c r="D412" s="9">
        <v>0.41310001373291022</v>
      </c>
      <c r="E412" s="9">
        <v>4.5390187134035302E-2</v>
      </c>
      <c r="F412" s="10">
        <v>58920</v>
      </c>
      <c r="G412" s="9">
        <v>0.872749</v>
      </c>
      <c r="H412" s="11">
        <v>326.608609</v>
      </c>
      <c r="I412" s="10">
        <v>27316.86286427881</v>
      </c>
      <c r="J412" s="9">
        <v>0.29276967235352136</v>
      </c>
      <c r="K412" s="12"/>
      <c r="L412" s="9">
        <v>4.3550000000000005E-2</v>
      </c>
      <c r="M412" s="12">
        <v>0</v>
      </c>
      <c r="N412" s="10">
        <f t="shared" si="6"/>
        <v>83.637914346216178</v>
      </c>
    </row>
    <row r="413" spans="1:14" x14ac:dyDescent="0.3">
      <c r="A413" t="s">
        <v>87</v>
      </c>
      <c r="B413" t="s">
        <v>88</v>
      </c>
      <c r="C413">
        <v>2018</v>
      </c>
      <c r="D413" s="9">
        <v>0.41355998992919923</v>
      </c>
      <c r="E413" s="9">
        <v>4.5011704841331199E-2</v>
      </c>
      <c r="F413" s="10">
        <v>63020</v>
      </c>
      <c r="G413" s="9">
        <v>0.88498900000000003</v>
      </c>
      <c r="H413" s="11">
        <v>328.52957700000002</v>
      </c>
      <c r="I413" s="10">
        <v>33247.312313264723</v>
      </c>
      <c r="J413" s="9">
        <v>0.21858553302455386</v>
      </c>
      <c r="K413" s="12"/>
      <c r="L413" s="9">
        <v>3.8960000000000002E-2</v>
      </c>
      <c r="M413" s="12">
        <v>0</v>
      </c>
      <c r="N413" s="10">
        <f t="shared" si="6"/>
        <v>101.2003625879466</v>
      </c>
    </row>
    <row r="414" spans="1:14" x14ac:dyDescent="0.3">
      <c r="A414" t="s">
        <v>87</v>
      </c>
      <c r="B414" t="s">
        <v>88</v>
      </c>
      <c r="C414">
        <v>2019</v>
      </c>
      <c r="D414" s="9">
        <v>0.41726001739501956</v>
      </c>
      <c r="E414" s="9">
        <v>4.5010105681216897E-2</v>
      </c>
      <c r="F414" s="10">
        <v>65880</v>
      </c>
      <c r="G414" s="9">
        <v>0.89430300000000007</v>
      </c>
      <c r="H414" s="11">
        <v>330.22622699999999</v>
      </c>
      <c r="I414" s="10">
        <v>37689.050100169727</v>
      </c>
      <c r="J414" s="9">
        <v>0.13400744573883916</v>
      </c>
      <c r="K414" s="12"/>
      <c r="L414" s="9">
        <v>3.669E-2</v>
      </c>
      <c r="M414" s="12">
        <v>0</v>
      </c>
      <c r="N414" s="10">
        <f t="shared" si="6"/>
        <v>114.13100177585146</v>
      </c>
    </row>
    <row r="415" spans="1:14" x14ac:dyDescent="0.3">
      <c r="A415" t="s">
        <v>87</v>
      </c>
      <c r="B415" t="s">
        <v>88</v>
      </c>
      <c r="C415">
        <v>2020</v>
      </c>
      <c r="D415" s="9">
        <v>0.41866001129150393</v>
      </c>
      <c r="E415" s="9">
        <v>5.2694771117015003E-2</v>
      </c>
      <c r="F415" s="10">
        <v>64920</v>
      </c>
      <c r="G415" s="9">
        <v>0.903447</v>
      </c>
      <c r="H415" s="11">
        <v>331.57772</v>
      </c>
      <c r="I415" s="10">
        <v>42234.39703154091</v>
      </c>
      <c r="J415" s="9">
        <v>0.12353327172288076</v>
      </c>
      <c r="K415" s="12">
        <v>0.57113907103825123</v>
      </c>
      <c r="L415" s="9">
        <v>8.0549999999999997E-2</v>
      </c>
      <c r="M415" s="12">
        <v>0.57113907103825123</v>
      </c>
      <c r="N415" s="10">
        <f t="shared" si="6"/>
        <v>127.37404983525705</v>
      </c>
    </row>
    <row r="416" spans="1:14" x14ac:dyDescent="0.3">
      <c r="A416" t="s">
        <v>87</v>
      </c>
      <c r="B416" t="s">
        <v>88</v>
      </c>
      <c r="C416">
        <v>2021</v>
      </c>
      <c r="D416" s="9">
        <v>0.39992000579833975</v>
      </c>
      <c r="E416" s="9">
        <v>5.2174168919681997E-2</v>
      </c>
      <c r="F416" s="10">
        <v>71730</v>
      </c>
      <c r="G416" s="9">
        <v>0.91268400000000005</v>
      </c>
      <c r="H416" s="11">
        <v>332.09976</v>
      </c>
      <c r="I416" s="10">
        <v>49593.294318566259</v>
      </c>
      <c r="J416" s="9">
        <v>0.17162392058251075</v>
      </c>
      <c r="K416" s="12">
        <v>0.56415452054794524</v>
      </c>
      <c r="L416" s="9">
        <v>5.3490000000000003E-2</v>
      </c>
      <c r="M416" s="12">
        <v>0.56415452054794524</v>
      </c>
      <c r="N416" s="10">
        <f t="shared" si="6"/>
        <v>149.33252080208146</v>
      </c>
    </row>
    <row r="417" spans="1:14" x14ac:dyDescent="0.3">
      <c r="A417" t="s">
        <v>87</v>
      </c>
      <c r="B417" t="s">
        <v>88</v>
      </c>
      <c r="C417">
        <v>2022</v>
      </c>
      <c r="D417" s="9">
        <v>0.39706001281738279</v>
      </c>
      <c r="E417" s="9">
        <v>5.0628542128695601E-2</v>
      </c>
      <c r="F417" s="10">
        <v>77330</v>
      </c>
      <c r="G417" s="9">
        <v>0.92201599999999995</v>
      </c>
      <c r="H417" s="11">
        <v>334.01732099999998</v>
      </c>
      <c r="I417" s="10">
        <v>48981.618123039327</v>
      </c>
      <c r="J417" s="9">
        <v>-1.4051217167925567E-2</v>
      </c>
      <c r="K417" s="12">
        <v>0.31656520547945199</v>
      </c>
      <c r="L417" s="9">
        <v>3.6499999999999998E-2</v>
      </c>
      <c r="M417" s="12">
        <v>0.31656520547945199</v>
      </c>
      <c r="N417" s="10">
        <f t="shared" si="6"/>
        <v>146.64394641689654</v>
      </c>
    </row>
    <row r="418" spans="1:14" x14ac:dyDescent="0.3">
      <c r="A418" t="s">
        <v>87</v>
      </c>
      <c r="B418" t="s">
        <v>88</v>
      </c>
      <c r="C418">
        <v>2023</v>
      </c>
      <c r="D418" s="9"/>
      <c r="E418" s="9">
        <v>5.2441683875813501E-2</v>
      </c>
      <c r="F418" s="10">
        <v>80000</v>
      </c>
      <c r="G418" s="9">
        <v>0.93144400000000005</v>
      </c>
      <c r="H418" s="11">
        <v>336.80623100000003</v>
      </c>
      <c r="I418" s="10">
        <v>50742.291325436097</v>
      </c>
      <c r="J418" s="9">
        <v>3.5420056663560739E-2</v>
      </c>
      <c r="K418" s="12"/>
      <c r="L418" s="9">
        <v>3.6379999999999996E-2</v>
      </c>
      <c r="M418" s="12">
        <v>0</v>
      </c>
      <c r="N418" s="10">
        <f t="shared" si="6"/>
        <v>150.65722262554013</v>
      </c>
    </row>
    <row r="419" spans="1:14" x14ac:dyDescent="0.3">
      <c r="A419" t="s">
        <v>87</v>
      </c>
      <c r="B419" t="s">
        <v>88</v>
      </c>
      <c r="C419">
        <v>2024</v>
      </c>
      <c r="D419" s="9"/>
      <c r="E419" s="9"/>
      <c r="F419" s="10">
        <v>83490</v>
      </c>
      <c r="G419" s="9"/>
      <c r="H419" s="11">
        <v>340.11098800000002</v>
      </c>
      <c r="I419" s="10">
        <v>54244.123887646623</v>
      </c>
      <c r="J419" s="9">
        <v>6.897892866342259E-2</v>
      </c>
      <c r="K419" s="12"/>
      <c r="L419" s="9">
        <v>4.0220000000000006E-2</v>
      </c>
      <c r="M419" s="12">
        <v>0</v>
      </c>
      <c r="N419" s="10">
        <f t="shared" si="6"/>
        <v>159.48947785140837</v>
      </c>
    </row>
    <row r="420" spans="1:14" x14ac:dyDescent="0.3">
      <c r="A420" t="s">
        <v>89</v>
      </c>
      <c r="B420" t="s">
        <v>90</v>
      </c>
      <c r="C420">
        <v>2014</v>
      </c>
      <c r="D420" s="9">
        <v>0.35404998779296881</v>
      </c>
      <c r="E420" s="9">
        <v>2.3022259281895999E-2</v>
      </c>
      <c r="F420" s="10">
        <v>2390</v>
      </c>
      <c r="G420" s="9"/>
      <c r="H420" s="11">
        <v>91.679578000000006</v>
      </c>
      <c r="J420" s="9"/>
      <c r="K420" s="12"/>
      <c r="L420" s="9"/>
      <c r="M420" s="12">
        <v>0</v>
      </c>
      <c r="N420" s="10">
        <f t="shared" si="6"/>
        <v>0</v>
      </c>
    </row>
    <row r="421" spans="1:14" x14ac:dyDescent="0.3">
      <c r="A421" t="s">
        <v>89</v>
      </c>
      <c r="B421" t="s">
        <v>90</v>
      </c>
      <c r="C421">
        <v>2015</v>
      </c>
      <c r="D421" s="9">
        <v>0.36640998840332029</v>
      </c>
      <c r="E421" s="9">
        <v>2.34494672198425E-2</v>
      </c>
      <c r="F421" s="10">
        <v>2460</v>
      </c>
      <c r="G421" s="9"/>
      <c r="H421" s="11">
        <v>92.823254000000006</v>
      </c>
      <c r="I421" s="10">
        <v>69.857287008106255</v>
      </c>
      <c r="J421" s="9"/>
      <c r="K421" s="12"/>
      <c r="L421" s="9"/>
      <c r="M421" s="12">
        <v>0</v>
      </c>
      <c r="N421" s="10">
        <f t="shared" si="6"/>
        <v>0.75258390540915798</v>
      </c>
    </row>
    <row r="422" spans="1:14" x14ac:dyDescent="0.3">
      <c r="A422" t="s">
        <v>89</v>
      </c>
      <c r="B422" t="s">
        <v>90</v>
      </c>
      <c r="C422">
        <v>2016</v>
      </c>
      <c r="D422" s="9">
        <v>0.37876998901367187</v>
      </c>
      <c r="E422" s="9">
        <v>2.3541320833342899E-2</v>
      </c>
      <c r="F422" s="10">
        <v>2560</v>
      </c>
      <c r="G422" s="9"/>
      <c r="H422" s="11">
        <v>94.000117000000003</v>
      </c>
      <c r="I422" s="10">
        <v>92.435390581504677</v>
      </c>
      <c r="J422" s="9">
        <v>0.3234834292374893</v>
      </c>
      <c r="K422" s="12"/>
      <c r="L422" s="9"/>
      <c r="M422" s="12">
        <v>0</v>
      </c>
      <c r="N422" s="10">
        <f t="shared" si="6"/>
        <v>0.98335399499028997</v>
      </c>
    </row>
    <row r="423" spans="1:14" x14ac:dyDescent="0.3">
      <c r="A423" t="s">
        <v>89</v>
      </c>
      <c r="B423" t="s">
        <v>90</v>
      </c>
      <c r="C423">
        <v>2017</v>
      </c>
      <c r="D423" s="9">
        <v>0.38062999725341795</v>
      </c>
      <c r="E423" s="9">
        <v>2.3623135465852901E-2</v>
      </c>
      <c r="F423" s="10">
        <v>2680</v>
      </c>
      <c r="G423" s="9"/>
      <c r="H423" s="11">
        <v>95.176976999999994</v>
      </c>
      <c r="I423" s="10">
        <v>91.020756513015911</v>
      </c>
      <c r="J423" s="9">
        <v>-1.4937423797910965E-2</v>
      </c>
      <c r="K423" s="12"/>
      <c r="L423" s="9"/>
      <c r="M423" s="12">
        <v>0</v>
      </c>
      <c r="N423" s="10">
        <f t="shared" si="6"/>
        <v>0.95633166110135981</v>
      </c>
    </row>
    <row r="424" spans="1:14" x14ac:dyDescent="0.3">
      <c r="A424" t="s">
        <v>89</v>
      </c>
      <c r="B424" t="s">
        <v>90</v>
      </c>
      <c r="C424">
        <v>2018</v>
      </c>
      <c r="D424" s="9">
        <v>0.38250000000000001</v>
      </c>
      <c r="E424" s="9">
        <v>2.3896763763941099E-2</v>
      </c>
      <c r="F424" s="10">
        <v>3020</v>
      </c>
      <c r="G424" s="9"/>
      <c r="H424" s="11">
        <v>96.237318999999999</v>
      </c>
      <c r="I424" s="10">
        <v>149.07184394180101</v>
      </c>
      <c r="J424" s="9">
        <v>0.63977960307047232</v>
      </c>
      <c r="K424" s="12"/>
      <c r="L424" s="9"/>
      <c r="M424" s="12">
        <v>0</v>
      </c>
      <c r="N424" s="10">
        <f t="shared" si="6"/>
        <v>1.5490024606961568</v>
      </c>
    </row>
    <row r="425" spans="1:14" x14ac:dyDescent="0.3">
      <c r="A425" t="s">
        <v>89</v>
      </c>
      <c r="B425" t="s">
        <v>90</v>
      </c>
      <c r="C425">
        <v>2019</v>
      </c>
      <c r="D425" s="9">
        <v>0.38673000335693358</v>
      </c>
      <c r="E425" s="9">
        <v>2.3309550714701699E-2</v>
      </c>
      <c r="F425" s="10">
        <v>3290</v>
      </c>
      <c r="G425" s="9"/>
      <c r="H425" s="11">
        <v>97.173776000000004</v>
      </c>
      <c r="I425" s="10">
        <v>180.16638100381039</v>
      </c>
      <c r="J425" s="9">
        <v>0.20902529947763981</v>
      </c>
      <c r="K425" s="12"/>
      <c r="L425" s="9"/>
      <c r="M425" s="12">
        <v>0</v>
      </c>
      <c r="N425" s="10">
        <f t="shared" si="6"/>
        <v>1.8540638063072734</v>
      </c>
    </row>
    <row r="426" spans="1:14" x14ac:dyDescent="0.3">
      <c r="A426" t="s">
        <v>89</v>
      </c>
      <c r="B426" t="s">
        <v>90</v>
      </c>
      <c r="C426">
        <v>2020</v>
      </c>
      <c r="D426" s="9">
        <v>0.39097000122070313</v>
      </c>
      <c r="E426" s="9">
        <v>2.56596711913448E-2</v>
      </c>
      <c r="F426" s="10">
        <v>3400</v>
      </c>
      <c r="G426" s="9"/>
      <c r="H426" s="11">
        <v>98.079190999999994</v>
      </c>
      <c r="I426" s="10">
        <v>223.20782409083259</v>
      </c>
      <c r="J426" s="9">
        <v>0.24213983679373485</v>
      </c>
      <c r="K426" s="12">
        <v>0.57667158469945368</v>
      </c>
      <c r="L426" s="9"/>
      <c r="M426" s="12">
        <v>0.57667158469945368</v>
      </c>
      <c r="N426" s="10">
        <f t="shared" si="6"/>
        <v>2.2757918556937589</v>
      </c>
    </row>
    <row r="427" spans="1:14" x14ac:dyDescent="0.3">
      <c r="A427" t="s">
        <v>89</v>
      </c>
      <c r="B427" t="s">
        <v>90</v>
      </c>
      <c r="C427">
        <v>2021</v>
      </c>
      <c r="D427" s="9">
        <v>0.38789001464843748</v>
      </c>
      <c r="E427" s="9">
        <v>2.71276244202447E-2</v>
      </c>
      <c r="F427" s="10">
        <v>3540</v>
      </c>
      <c r="G427" s="9"/>
      <c r="H427" s="11">
        <v>98.935097999999996</v>
      </c>
      <c r="I427" s="10">
        <v>301.16483554399298</v>
      </c>
      <c r="J427" s="9">
        <v>0.3462521750657388</v>
      </c>
      <c r="K427" s="12">
        <v>0.69148493150684931</v>
      </c>
      <c r="L427" s="9"/>
      <c r="M427" s="12">
        <v>0.69148493150684931</v>
      </c>
      <c r="N427" s="10">
        <f t="shared" si="6"/>
        <v>3.0440646608950952</v>
      </c>
    </row>
    <row r="428" spans="1:14" x14ac:dyDescent="0.3">
      <c r="A428" t="s">
        <v>89</v>
      </c>
      <c r="B428" t="s">
        <v>90</v>
      </c>
      <c r="C428">
        <v>2022</v>
      </c>
      <c r="D428" s="9">
        <v>0.38480998992919924</v>
      </c>
      <c r="E428" s="9">
        <v>2.5926584058858299E-2</v>
      </c>
      <c r="F428" s="10">
        <v>3980</v>
      </c>
      <c r="G428" s="9"/>
      <c r="H428" s="11">
        <v>99.680655000000002</v>
      </c>
      <c r="I428" s="10">
        <v>280.53295390280527</v>
      </c>
      <c r="J428" s="9">
        <v>-7.0126634806947696E-2</v>
      </c>
      <c r="K428" s="12">
        <v>0.3722457534246576</v>
      </c>
      <c r="L428" s="9"/>
      <c r="M428" s="12">
        <v>0.3722457534246576</v>
      </c>
      <c r="N428" s="10">
        <f t="shared" si="6"/>
        <v>2.8143169193942925</v>
      </c>
    </row>
    <row r="429" spans="1:14" x14ac:dyDescent="0.3">
      <c r="A429" t="s">
        <v>89</v>
      </c>
      <c r="B429" t="s">
        <v>90</v>
      </c>
      <c r="C429">
        <v>2023</v>
      </c>
      <c r="D429" s="9"/>
      <c r="E429" s="9">
        <v>2.7169516792274102E-2</v>
      </c>
      <c r="F429" s="10">
        <v>4150</v>
      </c>
      <c r="G429" s="9"/>
      <c r="H429" s="11">
        <v>100.352192</v>
      </c>
      <c r="I429" s="10">
        <v>302.1072953969674</v>
      </c>
      <c r="J429" s="9">
        <v>7.6358525695894075E-2</v>
      </c>
      <c r="K429" s="12"/>
      <c r="L429" s="9"/>
      <c r="M429" s="12">
        <v>0</v>
      </c>
      <c r="N429" s="10">
        <f t="shared" si="6"/>
        <v>3.0104703183460844</v>
      </c>
    </row>
    <row r="430" spans="1:14" x14ac:dyDescent="0.3">
      <c r="A430" t="s">
        <v>89</v>
      </c>
      <c r="B430" t="s">
        <v>90</v>
      </c>
      <c r="C430">
        <v>2024</v>
      </c>
      <c r="D430" s="9"/>
      <c r="E430" s="9"/>
      <c r="F430" s="10">
        <v>4490</v>
      </c>
      <c r="G430" s="9"/>
      <c r="H430" s="11">
        <v>100.987686</v>
      </c>
      <c r="I430" s="10">
        <v>321.84244475019477</v>
      </c>
      <c r="J430" s="9">
        <v>6.5291901497857241E-2</v>
      </c>
      <c r="K430" s="12"/>
      <c r="L430" s="9"/>
      <c r="M430" s="12">
        <v>0</v>
      </c>
      <c r="N430" s="10">
        <f t="shared" si="6"/>
        <v>3.1869474140658571</v>
      </c>
    </row>
  </sheetData>
  <conditionalFormatting sqref="J2:J430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K1:K430">
    <cfRule type="colorScale" priority="3">
      <colorScale>
        <cfvo type="min"/>
        <cfvo type="percentile" val="50"/>
        <cfvo type="max"/>
        <color rgb="FFC1F0C8"/>
        <color rgb="FFFFEB84"/>
        <color rgb="FFC4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F8A6-A314-4603-9C2D-4F3B7957031F}">
  <dimension ref="A1:L122"/>
  <sheetViews>
    <sheetView tabSelected="1" workbookViewId="0">
      <selection activeCell="I47" sqref="I47"/>
    </sheetView>
  </sheetViews>
  <sheetFormatPr defaultRowHeight="14.4" x14ac:dyDescent="0.3"/>
  <cols>
    <col min="1" max="1" width="13" customWidth="1"/>
    <col min="4" max="4" width="15.88671875" bestFit="1" customWidth="1"/>
    <col min="5" max="5" width="15.44140625" bestFit="1" customWidth="1"/>
    <col min="6" max="6" width="13.44140625" bestFit="1" customWidth="1"/>
    <col min="7" max="7" width="21.33203125" bestFit="1" customWidth="1"/>
    <col min="8" max="8" width="16.33203125" bestFit="1" customWidth="1"/>
    <col min="9" max="9" width="15.88671875" bestFit="1" customWidth="1"/>
    <col min="10" max="10" width="15.6640625" bestFit="1" customWidth="1"/>
    <col min="11" max="11" width="13.88671875" bestFit="1" customWidth="1"/>
    <col min="12" max="12" width="15.5546875" bestFit="1" customWidth="1"/>
  </cols>
  <sheetData>
    <row r="1" spans="1:12" x14ac:dyDescent="0.3">
      <c r="A1" s="1" t="s">
        <v>91</v>
      </c>
      <c r="B1" s="1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13" t="s">
        <v>92</v>
      </c>
      <c r="H1" s="4" t="s">
        <v>8</v>
      </c>
      <c r="I1" s="4" t="s">
        <v>9</v>
      </c>
      <c r="J1" s="3" t="s">
        <v>10</v>
      </c>
      <c r="K1" s="3" t="s">
        <v>11</v>
      </c>
      <c r="L1" s="2" t="s">
        <v>12</v>
      </c>
    </row>
    <row r="2" spans="1:12" x14ac:dyDescent="0.3">
      <c r="A2" t="s">
        <v>93</v>
      </c>
      <c r="B2">
        <v>2014</v>
      </c>
      <c r="C2" s="9">
        <v>0.41021392036656312</v>
      </c>
      <c r="D2" s="9">
        <v>3.1156813085537159E-2</v>
      </c>
      <c r="E2" s="10">
        <v>3622.380132385364</v>
      </c>
      <c r="F2" s="9">
        <v>0.27445998443681852</v>
      </c>
      <c r="G2" s="14">
        <v>339.02040699999998</v>
      </c>
      <c r="H2" s="10">
        <v>0</v>
      </c>
      <c r="I2" s="10"/>
      <c r="J2" s="9">
        <v>0</v>
      </c>
      <c r="K2" s="9">
        <v>9.9901552445189529E-2</v>
      </c>
      <c r="L2" s="10">
        <f>H2/G2</f>
        <v>0</v>
      </c>
    </row>
    <row r="3" spans="1:12" x14ac:dyDescent="0.3">
      <c r="A3" t="s">
        <v>93</v>
      </c>
      <c r="B3">
        <v>2015</v>
      </c>
      <c r="C3" s="9">
        <v>0.41271910521804239</v>
      </c>
      <c r="D3" s="9">
        <v>3.1224170071772611E-2</v>
      </c>
      <c r="E3" s="10">
        <v>3460.8012210756319</v>
      </c>
      <c r="F3" s="9">
        <v>0.29245296420940953</v>
      </c>
      <c r="G3" s="14">
        <v>346.99275699999998</v>
      </c>
      <c r="H3" s="10">
        <v>427.59988543736921</v>
      </c>
      <c r="I3" s="12"/>
      <c r="J3" s="9">
        <v>0</v>
      </c>
      <c r="K3" s="9">
        <v>0.1012909408783135</v>
      </c>
      <c r="L3" s="10">
        <f t="shared" ref="L3:L66" si="0">H3/G3</f>
        <v>1.2323020489945535</v>
      </c>
    </row>
    <row r="4" spans="1:12" x14ac:dyDescent="0.3">
      <c r="A4" t="s">
        <v>93</v>
      </c>
      <c r="B4">
        <v>2016</v>
      </c>
      <c r="C4" s="9">
        <v>0.41014011024645602</v>
      </c>
      <c r="D4" s="9">
        <v>3.1347792545298313E-2</v>
      </c>
      <c r="E4" s="10">
        <v>3175.270981417581</v>
      </c>
      <c r="F4" s="9">
        <v>0.30874984366544622</v>
      </c>
      <c r="G4" s="14">
        <v>354.34784000000002</v>
      </c>
      <c r="H4" s="10">
        <v>480.7198911529099</v>
      </c>
      <c r="I4" s="12">
        <f t="shared" ref="I4:I67" si="1">H4/H3-1</f>
        <v>0.12422829735140617</v>
      </c>
      <c r="J4" s="9">
        <v>0</v>
      </c>
      <c r="K4" s="9">
        <v>0.10340731256287609</v>
      </c>
      <c r="L4" s="10">
        <f t="shared" si="0"/>
        <v>1.3566327683919559</v>
      </c>
    </row>
    <row r="5" spans="1:12" x14ac:dyDescent="0.3">
      <c r="A5" t="s">
        <v>93</v>
      </c>
      <c r="B5">
        <v>2017</v>
      </c>
      <c r="C5" s="9">
        <v>0.40747113840746219</v>
      </c>
      <c r="D5" s="9">
        <v>3.1798176569141703E-2</v>
      </c>
      <c r="E5" s="10">
        <v>2877.116848046117</v>
      </c>
      <c r="F5" s="9">
        <v>0.32664388903391078</v>
      </c>
      <c r="G5" s="14">
        <v>361.58579800000001</v>
      </c>
      <c r="H5" s="10">
        <v>469.62614661224183</v>
      </c>
      <c r="I5" s="12">
        <f t="shared" si="1"/>
        <v>-2.3077356990704012E-2</v>
      </c>
      <c r="J5" s="9">
        <v>0</v>
      </c>
      <c r="K5" s="9">
        <v>0.1035877997608468</v>
      </c>
      <c r="L5" s="10">
        <f t="shared" si="0"/>
        <v>1.2987958852638395</v>
      </c>
    </row>
    <row r="6" spans="1:12" x14ac:dyDescent="0.3">
      <c r="A6" t="s">
        <v>93</v>
      </c>
      <c r="B6">
        <v>2018</v>
      </c>
      <c r="C6" s="9">
        <v>0.40557314698591068</v>
      </c>
      <c r="D6" s="9">
        <v>3.1790188318462372E-2</v>
      </c>
      <c r="E6" s="10">
        <v>2850.118707263704</v>
      </c>
      <c r="F6" s="9">
        <v>0.35417160248023538</v>
      </c>
      <c r="G6" s="14">
        <v>369.23385000000002</v>
      </c>
      <c r="H6" s="10">
        <v>545.60808328671772</v>
      </c>
      <c r="I6" s="12">
        <f t="shared" si="1"/>
        <v>0.16179239001616375</v>
      </c>
      <c r="J6" s="9">
        <v>0</v>
      </c>
      <c r="K6" s="9">
        <v>9.905302534886766E-2</v>
      </c>
      <c r="L6" s="10">
        <f t="shared" si="0"/>
        <v>1.4776762295404868</v>
      </c>
    </row>
    <row r="7" spans="1:12" x14ac:dyDescent="0.3">
      <c r="A7" t="s">
        <v>93</v>
      </c>
      <c r="B7">
        <v>2019</v>
      </c>
      <c r="C7" s="9">
        <v>0.40500943120849048</v>
      </c>
      <c r="D7" s="9">
        <v>3.2014964432966378E-2</v>
      </c>
      <c r="E7" s="10">
        <v>3050.4219138917938</v>
      </c>
      <c r="F7" s="9">
        <v>0.38557544303918251</v>
      </c>
      <c r="G7" s="14">
        <v>376.62668400000001</v>
      </c>
      <c r="H7" s="10">
        <v>642.30172075995711</v>
      </c>
      <c r="I7" s="12">
        <f t="shared" si="1"/>
        <v>0.17722178324551474</v>
      </c>
      <c r="J7" s="9">
        <v>0</v>
      </c>
      <c r="K7" s="9">
        <v>9.6417225729125464E-2</v>
      </c>
      <c r="L7" s="10">
        <f t="shared" si="0"/>
        <v>1.7054068339989343</v>
      </c>
    </row>
    <row r="8" spans="1:12" x14ac:dyDescent="0.3">
      <c r="A8" t="s">
        <v>93</v>
      </c>
      <c r="B8">
        <v>2020</v>
      </c>
      <c r="C8" s="9">
        <v>0.40487041126212309</v>
      </c>
      <c r="D8" s="9">
        <v>3.8830049672720433E-2</v>
      </c>
      <c r="E8" s="10">
        <v>3149.8337492974179</v>
      </c>
      <c r="F8" s="9">
        <v>0.40761447043307292</v>
      </c>
      <c r="G8" s="14">
        <v>383.87368600000002</v>
      </c>
      <c r="H8" s="10">
        <v>740.87607842119769</v>
      </c>
      <c r="I8" s="12">
        <f t="shared" si="1"/>
        <v>0.15347048665012064</v>
      </c>
      <c r="J8" s="9">
        <v>0.5634631202119017</v>
      </c>
      <c r="K8" s="9">
        <v>0.1006556115619501</v>
      </c>
      <c r="L8" s="10">
        <f t="shared" si="0"/>
        <v>1.9299996468661247</v>
      </c>
    </row>
    <row r="9" spans="1:12" x14ac:dyDescent="0.3">
      <c r="A9" t="s">
        <v>93</v>
      </c>
      <c r="B9">
        <v>2021</v>
      </c>
      <c r="C9" s="9">
        <v>0.40472606651660981</v>
      </c>
      <c r="D9" s="9">
        <v>3.9276274574045943E-2</v>
      </c>
      <c r="E9" s="10">
        <v>3577.3676373219369</v>
      </c>
      <c r="F9" s="9">
        <v>0.44176023407350579</v>
      </c>
      <c r="G9" s="14">
        <v>390.98889700000001</v>
      </c>
      <c r="H9" s="10">
        <v>903.67387713626931</v>
      </c>
      <c r="I9" s="12">
        <f t="shared" si="1"/>
        <v>0.21973688104762767</v>
      </c>
      <c r="J9" s="9">
        <v>0.46613908996654041</v>
      </c>
      <c r="K9" s="9">
        <v>0.1048132673264377</v>
      </c>
      <c r="L9" s="10">
        <f t="shared" si="0"/>
        <v>2.3112520178194966</v>
      </c>
    </row>
    <row r="10" spans="1:12" x14ac:dyDescent="0.3">
      <c r="A10" t="s">
        <v>93</v>
      </c>
      <c r="B10">
        <v>2022</v>
      </c>
      <c r="C10" s="9">
        <v>0.40453081076172731</v>
      </c>
      <c r="D10" s="9">
        <v>3.8993576097198182E-2</v>
      </c>
      <c r="E10" s="10">
        <v>3807.9873899313852</v>
      </c>
      <c r="F10" s="9">
        <v>0.45946356398022409</v>
      </c>
      <c r="G10" s="14">
        <v>398.14755600000001</v>
      </c>
      <c r="H10" s="10">
        <v>898.1504863202058</v>
      </c>
      <c r="I10" s="12">
        <f t="shared" si="1"/>
        <v>-6.1121505841986723E-3</v>
      </c>
      <c r="J10" s="9">
        <v>0.22914123368914049</v>
      </c>
      <c r="K10" s="9">
        <v>9.2086525011144366E-2</v>
      </c>
      <c r="L10" s="10">
        <f t="shared" si="0"/>
        <v>2.2558231810927047</v>
      </c>
    </row>
    <row r="11" spans="1:12" x14ac:dyDescent="0.3">
      <c r="A11" t="s">
        <v>93</v>
      </c>
      <c r="B11">
        <v>2023</v>
      </c>
      <c r="C11" s="9"/>
      <c r="D11" s="9">
        <v>3.9552106590336221E-2</v>
      </c>
      <c r="E11" s="10">
        <v>3550.7202496043319</v>
      </c>
      <c r="F11" s="9">
        <v>0.47127891411767719</v>
      </c>
      <c r="G11" s="14">
        <v>405.631101</v>
      </c>
      <c r="H11" s="10">
        <v>864.70176348323525</v>
      </c>
      <c r="I11" s="12">
        <f t="shared" si="1"/>
        <v>-3.7241780020642934E-2</v>
      </c>
      <c r="J11" s="9">
        <v>0</v>
      </c>
      <c r="K11" s="9">
        <v>8.6358352065267291E-2</v>
      </c>
      <c r="L11" s="10">
        <f t="shared" si="0"/>
        <v>2.1317442408915168</v>
      </c>
    </row>
    <row r="12" spans="1:12" x14ac:dyDescent="0.3">
      <c r="A12" t="s">
        <v>93</v>
      </c>
      <c r="B12">
        <v>2024</v>
      </c>
      <c r="C12" s="9"/>
      <c r="D12" s="9"/>
      <c r="E12" s="10">
        <v>2893.5532302101728</v>
      </c>
      <c r="F12" s="9"/>
      <c r="G12" s="14">
        <v>413.22492299999999</v>
      </c>
      <c r="H12" s="10">
        <v>636.96367153272627</v>
      </c>
      <c r="I12" s="12">
        <f t="shared" si="1"/>
        <v>-0.26337183705179801</v>
      </c>
      <c r="J12" s="9">
        <v>0</v>
      </c>
      <c r="K12" s="9">
        <v>8.637035439580687E-2</v>
      </c>
      <c r="L12" s="10">
        <f t="shared" si="0"/>
        <v>1.5414454358376788</v>
      </c>
    </row>
    <row r="13" spans="1:12" x14ac:dyDescent="0.3">
      <c r="A13" t="s">
        <v>94</v>
      </c>
      <c r="B13">
        <v>2014</v>
      </c>
      <c r="C13" s="9">
        <v>0.50602984645345761</v>
      </c>
      <c r="D13" s="9">
        <v>2.7163767898674099E-2</v>
      </c>
      <c r="E13" s="10">
        <v>10637.767259617811</v>
      </c>
      <c r="F13" s="9">
        <v>0.48075883954852811</v>
      </c>
      <c r="G13" s="14">
        <v>184.213885</v>
      </c>
      <c r="H13" s="10">
        <v>0</v>
      </c>
      <c r="I13" s="12"/>
      <c r="J13" s="9">
        <v>0</v>
      </c>
      <c r="K13" s="9">
        <v>6.0133870252234239E-2</v>
      </c>
      <c r="L13" s="10">
        <f t="shared" si="0"/>
        <v>0</v>
      </c>
    </row>
    <row r="14" spans="1:12" x14ac:dyDescent="0.3">
      <c r="A14" t="s">
        <v>94</v>
      </c>
      <c r="B14">
        <v>2015</v>
      </c>
      <c r="C14" s="9">
        <v>0.49744904100775961</v>
      </c>
      <c r="D14" s="9">
        <v>2.7574024774427091E-2</v>
      </c>
      <c r="E14" s="10">
        <v>10121.84329086885</v>
      </c>
      <c r="F14" s="9">
        <v>0.58907775728889622</v>
      </c>
      <c r="G14" s="14">
        <v>186.08987099999999</v>
      </c>
      <c r="H14" s="10">
        <v>701.74014385360306</v>
      </c>
      <c r="I14" s="12"/>
      <c r="J14" s="9">
        <v>0</v>
      </c>
      <c r="K14" s="9">
        <v>5.6089758908532968E-2</v>
      </c>
      <c r="L14" s="10">
        <f t="shared" si="0"/>
        <v>3.7709744226412147</v>
      </c>
    </row>
    <row r="15" spans="1:12" x14ac:dyDescent="0.3">
      <c r="A15" t="s">
        <v>94</v>
      </c>
      <c r="B15">
        <v>2016</v>
      </c>
      <c r="C15" s="9">
        <v>0.49371836753969001</v>
      </c>
      <c r="D15" s="9">
        <v>2.7435840518804239E-2</v>
      </c>
      <c r="E15" s="10">
        <v>9284.3759660900359</v>
      </c>
      <c r="F15" s="9">
        <v>0.61520374451507509</v>
      </c>
      <c r="G15" s="14">
        <v>187.956084</v>
      </c>
      <c r="H15" s="10">
        <v>722.52330526201274</v>
      </c>
      <c r="I15" s="12">
        <f t="shared" si="1"/>
        <v>2.9616606076259266E-2</v>
      </c>
      <c r="J15" s="9">
        <v>0</v>
      </c>
      <c r="K15" s="9">
        <v>5.4310064797530047E-2</v>
      </c>
      <c r="L15" s="10">
        <f t="shared" si="0"/>
        <v>3.8441070375886994</v>
      </c>
    </row>
    <row r="16" spans="1:12" x14ac:dyDescent="0.3">
      <c r="A16" t="s">
        <v>94</v>
      </c>
      <c r="B16">
        <v>2017</v>
      </c>
      <c r="C16" s="9">
        <v>0.48301720947681609</v>
      </c>
      <c r="D16" s="9">
        <v>2.779016965812782E-2</v>
      </c>
      <c r="E16" s="10">
        <v>8833.3208471252437</v>
      </c>
      <c r="F16" s="9">
        <v>0.58228566871319376</v>
      </c>
      <c r="G16" s="14">
        <v>190.090003</v>
      </c>
      <c r="H16" s="10">
        <v>764.10966686817778</v>
      </c>
      <c r="I16" s="12">
        <f t="shared" si="1"/>
        <v>5.7557121415044765E-2</v>
      </c>
      <c r="J16" s="9">
        <v>0</v>
      </c>
      <c r="K16" s="9">
        <v>5.228604655590436E-2</v>
      </c>
      <c r="L16" s="10">
        <f t="shared" si="0"/>
        <v>4.01972568156663</v>
      </c>
    </row>
    <row r="17" spans="1:12" x14ac:dyDescent="0.3">
      <c r="A17" t="s">
        <v>94</v>
      </c>
      <c r="B17">
        <v>2018</v>
      </c>
      <c r="C17" s="9">
        <v>0.47639304391760873</v>
      </c>
      <c r="D17" s="9">
        <v>2.79657410748732E-2</v>
      </c>
      <c r="E17" s="10">
        <v>9223.4036229271514</v>
      </c>
      <c r="F17" s="9">
        <v>0.61333093468298772</v>
      </c>
      <c r="G17" s="14">
        <v>192.491367</v>
      </c>
      <c r="H17" s="10">
        <v>946.44764474603221</v>
      </c>
      <c r="I17" s="12">
        <f t="shared" si="1"/>
        <v>0.23862802132211591</v>
      </c>
      <c r="J17" s="9">
        <v>0</v>
      </c>
      <c r="K17" s="9">
        <v>5.251511829712343E-2</v>
      </c>
      <c r="L17" s="10">
        <f t="shared" si="0"/>
        <v>4.9168316454733905</v>
      </c>
    </row>
    <row r="18" spans="1:12" x14ac:dyDescent="0.3">
      <c r="A18" t="s">
        <v>94</v>
      </c>
      <c r="B18">
        <v>2019</v>
      </c>
      <c r="C18" s="9">
        <v>0.4783941965195489</v>
      </c>
      <c r="D18" s="9">
        <v>2.9083466537782099E-2</v>
      </c>
      <c r="E18" s="10">
        <v>9508.5957767227192</v>
      </c>
      <c r="F18" s="9">
        <v>0.69963258746618895</v>
      </c>
      <c r="G18" s="14">
        <v>194.86871099999999</v>
      </c>
      <c r="H18" s="10">
        <v>1085.6332858933081</v>
      </c>
      <c r="I18" s="12">
        <f t="shared" si="1"/>
        <v>0.14706110995143806</v>
      </c>
      <c r="J18" s="9">
        <v>0</v>
      </c>
      <c r="K18" s="9">
        <v>5.6149633483540608E-2</v>
      </c>
      <c r="L18" s="10">
        <f t="shared" si="0"/>
        <v>5.5711010778600993</v>
      </c>
    </row>
    <row r="19" spans="1:12" x14ac:dyDescent="0.3">
      <c r="A19" t="s">
        <v>94</v>
      </c>
      <c r="B19">
        <v>2020</v>
      </c>
      <c r="C19" s="9">
        <v>0.48240889654926139</v>
      </c>
      <c r="D19" s="9">
        <v>3.4906102445278822E-2</v>
      </c>
      <c r="E19" s="10">
        <v>8527.8409690971293</v>
      </c>
      <c r="F19" s="9">
        <v>0.72625967372599065</v>
      </c>
      <c r="G19" s="14">
        <v>196.79967500000001</v>
      </c>
      <c r="H19" s="10">
        <v>1109.58093423029</v>
      </c>
      <c r="I19" s="12">
        <f t="shared" si="1"/>
        <v>2.2058690211655296E-2</v>
      </c>
      <c r="J19" s="9">
        <v>0.59650438807785999</v>
      </c>
      <c r="K19" s="9">
        <v>8.0488214455994397E-2</v>
      </c>
      <c r="L19" s="10">
        <f t="shared" si="0"/>
        <v>5.6381238141287069</v>
      </c>
    </row>
    <row r="20" spans="1:12" x14ac:dyDescent="0.3">
      <c r="A20" t="s">
        <v>94</v>
      </c>
      <c r="B20">
        <v>2021</v>
      </c>
      <c r="C20" s="9">
        <v>0.4695590303121977</v>
      </c>
      <c r="D20" s="9">
        <v>3.5276736178195822E-2</v>
      </c>
      <c r="E20" s="10">
        <v>9440.1895709651981</v>
      </c>
      <c r="F20" s="9">
        <v>0.76388974328829284</v>
      </c>
      <c r="G20" s="14">
        <v>198.292655</v>
      </c>
      <c r="H20" s="10">
        <v>1374.5168222336949</v>
      </c>
      <c r="I20" s="12">
        <f t="shared" si="1"/>
        <v>0.23877112505289166</v>
      </c>
      <c r="J20" s="9">
        <v>0.53712088888239662</v>
      </c>
      <c r="K20" s="9">
        <v>7.0855139390816071E-2</v>
      </c>
      <c r="L20" s="10">
        <f t="shared" si="0"/>
        <v>6.9317586283450332</v>
      </c>
    </row>
    <row r="21" spans="1:12" x14ac:dyDescent="0.3">
      <c r="A21" t="s">
        <v>94</v>
      </c>
      <c r="B21">
        <v>2022</v>
      </c>
      <c r="C21" s="9">
        <v>0.4706784758930983</v>
      </c>
      <c r="D21" s="9">
        <v>3.4817820005002491E-2</v>
      </c>
      <c r="E21" s="10">
        <v>10111.441257204449</v>
      </c>
      <c r="F21" s="9">
        <v>0.78579752273042203</v>
      </c>
      <c r="G21" s="14">
        <v>199.90409700000001</v>
      </c>
      <c r="H21" s="10">
        <v>1401.984001517314</v>
      </c>
      <c r="I21" s="12">
        <f t="shared" si="1"/>
        <v>1.9983152508081137E-2</v>
      </c>
      <c r="J21" s="9">
        <v>0.259196039902859</v>
      </c>
      <c r="K21" s="9">
        <v>5.6298344431630142E-2</v>
      </c>
      <c r="L21" s="10">
        <f t="shared" si="0"/>
        <v>7.0132829819756717</v>
      </c>
    </row>
    <row r="22" spans="1:12" x14ac:dyDescent="0.3">
      <c r="A22" t="s">
        <v>94</v>
      </c>
      <c r="B22">
        <v>2023</v>
      </c>
      <c r="C22" s="9"/>
      <c r="D22" s="9">
        <v>3.3564116371284182E-2</v>
      </c>
      <c r="E22" s="10">
        <v>11028.31282996956</v>
      </c>
      <c r="F22" s="9">
        <v>0.8147921693341118</v>
      </c>
      <c r="G22" s="14">
        <v>201.71974599999999</v>
      </c>
      <c r="H22" s="10">
        <v>1598.787139813292</v>
      </c>
      <c r="I22" s="12">
        <f t="shared" si="1"/>
        <v>0.1403747390005774</v>
      </c>
      <c r="J22" s="9">
        <v>0</v>
      </c>
      <c r="K22" s="9">
        <v>5.1444030785265819E-2</v>
      </c>
      <c r="L22" s="10">
        <f t="shared" si="0"/>
        <v>7.9257840222210678</v>
      </c>
    </row>
    <row r="23" spans="1:12" x14ac:dyDescent="0.3">
      <c r="A23" t="s">
        <v>94</v>
      </c>
      <c r="B23">
        <v>2024</v>
      </c>
      <c r="C23" s="9"/>
      <c r="D23" s="9">
        <v>3.70243325935131E-2</v>
      </c>
      <c r="E23" s="10">
        <v>11621.80824740083</v>
      </c>
      <c r="F23" s="9"/>
      <c r="G23" s="14">
        <v>203.51214100000001</v>
      </c>
      <c r="H23" s="10">
        <v>1801.731319484534</v>
      </c>
      <c r="I23" s="12">
        <f t="shared" si="1"/>
        <v>0.12693633481123823</v>
      </c>
      <c r="J23" s="9">
        <v>0</v>
      </c>
      <c r="K23" s="9">
        <v>5.068341234840628E-2</v>
      </c>
      <c r="L23" s="10">
        <f t="shared" si="0"/>
        <v>8.8531883681796355</v>
      </c>
    </row>
    <row r="24" spans="1:12" x14ac:dyDescent="0.3">
      <c r="A24" t="s">
        <v>95</v>
      </c>
      <c r="B24">
        <v>2014</v>
      </c>
      <c r="C24" s="9">
        <v>0.40077660669229048</v>
      </c>
      <c r="D24" s="9">
        <v>4.4689453817586253E-2</v>
      </c>
      <c r="E24" s="10">
        <v>55260.336428692557</v>
      </c>
      <c r="F24" s="9">
        <v>0.74410602831429684</v>
      </c>
      <c r="G24" s="14">
        <v>354.69162599999999</v>
      </c>
      <c r="H24" s="10">
        <v>0</v>
      </c>
      <c r="I24" s="12"/>
      <c r="J24" s="9">
        <v>0</v>
      </c>
      <c r="K24" s="9">
        <v>6.2534153980787793E-2</v>
      </c>
      <c r="L24" s="10">
        <f t="shared" si="0"/>
        <v>0</v>
      </c>
    </row>
    <row r="25" spans="1:12" x14ac:dyDescent="0.3">
      <c r="A25" t="s">
        <v>95</v>
      </c>
      <c r="B25">
        <v>2015</v>
      </c>
      <c r="C25" s="9">
        <v>0.40916858646831539</v>
      </c>
      <c r="D25" s="9">
        <v>4.4600880021648137E-2</v>
      </c>
      <c r="E25" s="10">
        <v>55519.170933218084</v>
      </c>
      <c r="F25" s="9">
        <v>0.76096729433072596</v>
      </c>
      <c r="G25" s="14">
        <v>357.51961899999998</v>
      </c>
      <c r="H25" s="10">
        <v>18693.455603199109</v>
      </c>
      <c r="I25" s="12"/>
      <c r="J25" s="9">
        <v>0</v>
      </c>
      <c r="K25" s="9">
        <v>5.4462789564843427E-2</v>
      </c>
      <c r="L25" s="10">
        <f t="shared" si="0"/>
        <v>52.286516906360625</v>
      </c>
    </row>
    <row r="26" spans="1:12" x14ac:dyDescent="0.3">
      <c r="A26" t="s">
        <v>95</v>
      </c>
      <c r="B26">
        <v>2016</v>
      </c>
      <c r="C26" s="9">
        <v>0.4056065348964682</v>
      </c>
      <c r="D26" s="9">
        <v>4.4705692548778243E-2</v>
      </c>
      <c r="E26" s="10">
        <v>55597.67784642036</v>
      </c>
      <c r="F26" s="9">
        <v>0.86106963098895528</v>
      </c>
      <c r="G26" s="14">
        <v>360.46414299999998</v>
      </c>
      <c r="H26" s="10">
        <v>21852.67560204033</v>
      </c>
      <c r="I26" s="12">
        <f t="shared" si="1"/>
        <v>0.16900139096275857</v>
      </c>
      <c r="J26" s="9">
        <v>0</v>
      </c>
      <c r="K26" s="9">
        <v>5.0862874423934043E-2</v>
      </c>
      <c r="L26" s="10">
        <f t="shared" si="0"/>
        <v>60.623715358119078</v>
      </c>
    </row>
    <row r="27" spans="1:12" x14ac:dyDescent="0.3">
      <c r="A27" t="s">
        <v>95</v>
      </c>
      <c r="B27">
        <v>2017</v>
      </c>
      <c r="C27" s="9">
        <v>0.4050695380797707</v>
      </c>
      <c r="D27" s="9">
        <v>4.4473152510017218E-2</v>
      </c>
      <c r="E27" s="10">
        <v>57307.866825274999</v>
      </c>
      <c r="F27" s="9">
        <v>0.87820982438991591</v>
      </c>
      <c r="G27" s="14">
        <v>363.153684</v>
      </c>
      <c r="H27" s="10">
        <v>28150.049818590829</v>
      </c>
      <c r="I27" s="12">
        <f t="shared" si="1"/>
        <v>0.28817405846460864</v>
      </c>
      <c r="J27" s="9">
        <v>0</v>
      </c>
      <c r="K27" s="9">
        <v>4.5634099753343003E-2</v>
      </c>
      <c r="L27" s="10">
        <f t="shared" si="0"/>
        <v>77.515528710954314</v>
      </c>
    </row>
    <row r="28" spans="1:12" x14ac:dyDescent="0.3">
      <c r="A28" t="s">
        <v>95</v>
      </c>
      <c r="B28">
        <v>2018</v>
      </c>
      <c r="C28" s="9">
        <v>0.40461738926887192</v>
      </c>
      <c r="D28" s="9">
        <v>4.4153606896705049E-2</v>
      </c>
      <c r="E28" s="10">
        <v>61198.828626678078</v>
      </c>
      <c r="F28" s="9">
        <v>0.89121616899816658</v>
      </c>
      <c r="G28" s="14">
        <v>365.60219699999999</v>
      </c>
      <c r="H28" s="10">
        <v>34290.911694030721</v>
      </c>
      <c r="I28" s="12">
        <f t="shared" si="1"/>
        <v>0.21814746030695664</v>
      </c>
      <c r="J28" s="9">
        <v>0</v>
      </c>
      <c r="K28" s="9">
        <v>4.0928203583306143E-2</v>
      </c>
      <c r="L28" s="10">
        <f t="shared" si="0"/>
        <v>93.792958509028665</v>
      </c>
    </row>
    <row r="29" spans="1:12" x14ac:dyDescent="0.3">
      <c r="A29" t="s">
        <v>95</v>
      </c>
      <c r="B29">
        <v>2019</v>
      </c>
      <c r="C29" s="9">
        <v>0.40706805443959471</v>
      </c>
      <c r="D29" s="9">
        <v>4.4047181148050542E-2</v>
      </c>
      <c r="E29" s="10">
        <v>63906.240666027552</v>
      </c>
      <c r="F29" s="9">
        <v>0.8968418885608912</v>
      </c>
      <c r="G29" s="14">
        <v>367.84472199999999</v>
      </c>
      <c r="H29" s="10">
        <v>38837.953317674903</v>
      </c>
      <c r="I29" s="12">
        <f t="shared" si="1"/>
        <v>0.13260194608461573</v>
      </c>
      <c r="J29" s="9">
        <v>0</v>
      </c>
      <c r="K29" s="9">
        <v>3.8756822597905867E-2</v>
      </c>
      <c r="L29" s="10">
        <f t="shared" si="0"/>
        <v>105.58246726094089</v>
      </c>
    </row>
    <row r="30" spans="1:12" x14ac:dyDescent="0.3">
      <c r="A30" t="s">
        <v>95</v>
      </c>
      <c r="B30">
        <v>2020</v>
      </c>
      <c r="C30" s="9">
        <v>0.40631223300241631</v>
      </c>
      <c r="D30" s="9">
        <v>5.1535894790756639E-2</v>
      </c>
      <c r="E30" s="10">
        <v>62757.26130934144</v>
      </c>
      <c r="F30" s="9">
        <v>0.90545879969640553</v>
      </c>
      <c r="G30" s="14">
        <v>369.606358</v>
      </c>
      <c r="H30" s="10">
        <v>43634.440393805031</v>
      </c>
      <c r="I30" s="12">
        <f t="shared" si="1"/>
        <v>0.12349999591629546</v>
      </c>
      <c r="J30" s="9">
        <v>0.56978196889910271</v>
      </c>
      <c r="K30" s="9">
        <v>8.2198290857485729E-2</v>
      </c>
      <c r="L30" s="10">
        <f t="shared" si="0"/>
        <v>118.0565199958087</v>
      </c>
    </row>
    <row r="31" spans="1:12" x14ac:dyDescent="0.3">
      <c r="A31" t="s">
        <v>95</v>
      </c>
      <c r="B31">
        <v>2021</v>
      </c>
      <c r="C31" s="9">
        <v>0.38946324911995678</v>
      </c>
      <c r="D31" s="9">
        <v>5.1037444613510251E-2</v>
      </c>
      <c r="E31" s="10">
        <v>69391.246965029059</v>
      </c>
      <c r="F31" s="9">
        <v>0.91543959833308031</v>
      </c>
      <c r="G31" s="14">
        <v>370.33962400000001</v>
      </c>
      <c r="H31" s="10">
        <v>51296.975744749972</v>
      </c>
      <c r="I31" s="12">
        <f t="shared" si="1"/>
        <v>0.17560750823867166</v>
      </c>
      <c r="J31" s="9">
        <v>0.57757522452828325</v>
      </c>
      <c r="K31" s="9">
        <v>5.5738920136938951E-2</v>
      </c>
      <c r="L31" s="10">
        <f t="shared" si="0"/>
        <v>138.51333322288508</v>
      </c>
    </row>
    <row r="32" spans="1:12" x14ac:dyDescent="0.3">
      <c r="A32" t="s">
        <v>95</v>
      </c>
      <c r="B32">
        <v>2022</v>
      </c>
      <c r="C32" s="9">
        <v>0.38678610904594618</v>
      </c>
      <c r="D32" s="9">
        <v>4.943783744634659E-2</v>
      </c>
      <c r="E32" s="10">
        <v>74878.712290176962</v>
      </c>
      <c r="F32" s="9">
        <v>0.92389351099546213</v>
      </c>
      <c r="G32" s="14">
        <v>372.95325500000001</v>
      </c>
      <c r="H32" s="10">
        <v>50531.54764824704</v>
      </c>
      <c r="I32" s="12">
        <f t="shared" si="1"/>
        <v>-1.4921505320540707E-2</v>
      </c>
      <c r="J32" s="9">
        <v>0.31035792901568121</v>
      </c>
      <c r="K32" s="9">
        <v>3.8200659147913853E-2</v>
      </c>
      <c r="L32" s="10">
        <f t="shared" si="0"/>
        <v>135.49029796843317</v>
      </c>
    </row>
    <row r="33" spans="1:12" x14ac:dyDescent="0.3">
      <c r="A33" t="s">
        <v>95</v>
      </c>
      <c r="B33">
        <v>2023</v>
      </c>
      <c r="C33" s="9"/>
      <c r="D33" s="9">
        <v>5.1283417422331563E-2</v>
      </c>
      <c r="E33" s="10">
        <v>77305.006095589531</v>
      </c>
      <c r="F33" s="9">
        <v>0.93230758920693824</v>
      </c>
      <c r="G33" s="14">
        <v>376.88971500000002</v>
      </c>
      <c r="H33" s="10">
        <v>52431.055773428787</v>
      </c>
      <c r="I33" s="12">
        <f t="shared" si="1"/>
        <v>3.7590539248952615E-2</v>
      </c>
      <c r="J33" s="9">
        <v>0</v>
      </c>
      <c r="K33" s="9">
        <v>3.8269899040306782E-2</v>
      </c>
      <c r="L33" s="10">
        <f t="shared" si="0"/>
        <v>139.11511428065577</v>
      </c>
    </row>
    <row r="34" spans="1:12" x14ac:dyDescent="0.3">
      <c r="A34" t="s">
        <v>95</v>
      </c>
      <c r="B34">
        <v>2024</v>
      </c>
      <c r="C34" s="9"/>
      <c r="D34" s="9"/>
      <c r="E34" s="10">
        <v>80232.592319823365</v>
      </c>
      <c r="F34" s="9"/>
      <c r="G34" s="14">
        <v>381.399587</v>
      </c>
      <c r="H34" s="10">
        <v>56034.205256476453</v>
      </c>
      <c r="I34" s="12">
        <f t="shared" si="1"/>
        <v>6.8721665621573891E-2</v>
      </c>
      <c r="J34" s="9">
        <v>0</v>
      </c>
      <c r="K34" s="9">
        <v>4.2741270351323177E-2</v>
      </c>
      <c r="L34" s="10">
        <f t="shared" si="0"/>
        <v>146.91732022372759</v>
      </c>
    </row>
    <row r="35" spans="1:12" x14ac:dyDescent="0.3">
      <c r="A35" t="s">
        <v>96</v>
      </c>
      <c r="B35">
        <v>2014</v>
      </c>
      <c r="C35" s="9">
        <v>0.41708990020300479</v>
      </c>
      <c r="D35" s="9">
        <v>3.6789705507492353E-2</v>
      </c>
      <c r="E35" s="10">
        <v>11475.86442250626</v>
      </c>
      <c r="F35" s="9">
        <v>0.51398439552382169</v>
      </c>
      <c r="G35" s="14">
        <v>1557.112159</v>
      </c>
      <c r="H35" s="10">
        <v>0</v>
      </c>
      <c r="I35" s="12"/>
      <c r="J35" s="9">
        <v>0</v>
      </c>
      <c r="K35" s="9">
        <v>4.4882669232550777E-2</v>
      </c>
      <c r="L35" s="10">
        <f t="shared" si="0"/>
        <v>0</v>
      </c>
    </row>
    <row r="36" spans="1:12" x14ac:dyDescent="0.3">
      <c r="A36" t="s">
        <v>96</v>
      </c>
      <c r="B36">
        <v>2015</v>
      </c>
      <c r="C36" s="9">
        <v>0.41798129854798738</v>
      </c>
      <c r="D36" s="9">
        <v>3.7116957394843483E-2</v>
      </c>
      <c r="E36" s="10">
        <v>11459.873517796341</v>
      </c>
      <c r="F36" s="9">
        <v>0.53738626038071635</v>
      </c>
      <c r="G36" s="14">
        <v>1565.307247</v>
      </c>
      <c r="H36" s="10">
        <v>10477.17844748682</v>
      </c>
      <c r="I36" s="12"/>
      <c r="J36" s="9">
        <v>0</v>
      </c>
      <c r="K36" s="9">
        <v>4.5050475992985693E-2</v>
      </c>
      <c r="L36" s="10">
        <f t="shared" si="0"/>
        <v>6.6933686453997616</v>
      </c>
    </row>
    <row r="37" spans="1:12" x14ac:dyDescent="0.3">
      <c r="A37" t="s">
        <v>96</v>
      </c>
      <c r="B37">
        <v>2016</v>
      </c>
      <c r="C37" s="9">
        <v>0.41984354722986938</v>
      </c>
      <c r="D37" s="9">
        <v>3.727941387188375E-2</v>
      </c>
      <c r="E37" s="10">
        <v>11684.474314364161</v>
      </c>
      <c r="F37" s="9">
        <v>0.56553987471631162</v>
      </c>
      <c r="G37" s="14">
        <v>1573.4204030000001</v>
      </c>
      <c r="H37" s="10">
        <v>12972.51600415686</v>
      </c>
      <c r="I37" s="12">
        <f t="shared" si="1"/>
        <v>0.2381688513922946</v>
      </c>
      <c r="J37" s="9">
        <v>0</v>
      </c>
      <c r="K37" s="9">
        <v>4.4096003502440917E-2</v>
      </c>
      <c r="L37" s="10">
        <f t="shared" si="0"/>
        <v>8.2447869491348271</v>
      </c>
    </row>
    <row r="38" spans="1:12" x14ac:dyDescent="0.3">
      <c r="A38" t="s">
        <v>96</v>
      </c>
      <c r="B38">
        <v>2017</v>
      </c>
      <c r="C38" s="9">
        <v>0.4243412094430008</v>
      </c>
      <c r="D38" s="9">
        <v>3.7757546875474939E-2</v>
      </c>
      <c r="E38" s="10">
        <v>12171.74404135955</v>
      </c>
      <c r="F38" s="9">
        <v>0.57419851704354086</v>
      </c>
      <c r="G38" s="14">
        <v>1581.9421110000001</v>
      </c>
      <c r="H38" s="10">
        <v>16142.37968574687</v>
      </c>
      <c r="I38" s="12">
        <f t="shared" si="1"/>
        <v>0.24435226601950388</v>
      </c>
      <c r="J38" s="9">
        <v>0</v>
      </c>
      <c r="K38" s="9">
        <v>4.3049093922773757E-2</v>
      </c>
      <c r="L38" s="10">
        <f t="shared" si="0"/>
        <v>10.204153219957409</v>
      </c>
    </row>
    <row r="39" spans="1:12" x14ac:dyDescent="0.3">
      <c r="A39" t="s">
        <v>96</v>
      </c>
      <c r="B39">
        <v>2018</v>
      </c>
      <c r="C39" s="9">
        <v>0.43135905922628731</v>
      </c>
      <c r="D39" s="9">
        <v>3.9909043081003223E-2</v>
      </c>
      <c r="E39" s="10">
        <v>13278.215740015179</v>
      </c>
      <c r="F39" s="9">
        <v>0.61649581307700008</v>
      </c>
      <c r="G39" s="14">
        <v>1588.6086580000001</v>
      </c>
      <c r="H39" s="10">
        <v>16131.26135920337</v>
      </c>
      <c r="I39" s="12">
        <f t="shared" si="1"/>
        <v>-6.887662637075076E-4</v>
      </c>
      <c r="J39" s="9">
        <v>0</v>
      </c>
      <c r="K39" s="9">
        <v>4.1400404742046933E-2</v>
      </c>
      <c r="L39" s="10">
        <f t="shared" si="0"/>
        <v>10.154333024668288</v>
      </c>
    </row>
    <row r="40" spans="1:12" x14ac:dyDescent="0.3">
      <c r="A40" t="s">
        <v>96</v>
      </c>
      <c r="B40">
        <v>2019</v>
      </c>
      <c r="C40" s="9">
        <v>0.42820643865277158</v>
      </c>
      <c r="D40" s="9">
        <v>4.0124534062090988E-2</v>
      </c>
      <c r="E40" s="10">
        <v>14019.28818087656</v>
      </c>
      <c r="F40" s="9">
        <v>0.66445357867292143</v>
      </c>
      <c r="G40" s="14">
        <v>1593.6507220000001</v>
      </c>
      <c r="H40" s="10">
        <v>17262.893852755791</v>
      </c>
      <c r="I40" s="12">
        <f t="shared" si="1"/>
        <v>7.0151519360684755E-2</v>
      </c>
      <c r="J40" s="9">
        <v>0</v>
      </c>
      <c r="K40" s="9">
        <v>4.3502900948153927E-2</v>
      </c>
      <c r="L40" s="10">
        <f t="shared" si="0"/>
        <v>10.832294438452111</v>
      </c>
    </row>
    <row r="41" spans="1:12" x14ac:dyDescent="0.3">
      <c r="A41" t="s">
        <v>96</v>
      </c>
      <c r="B41">
        <v>2020</v>
      </c>
      <c r="C41" s="9">
        <v>0.42826204212062052</v>
      </c>
      <c r="D41" s="9">
        <v>4.1315087776318413E-2</v>
      </c>
      <c r="E41" s="10">
        <v>14092.09889344524</v>
      </c>
      <c r="F41" s="9">
        <v>0.71709058815398596</v>
      </c>
      <c r="G41" s="14">
        <v>1596.6782390000001</v>
      </c>
      <c r="H41" s="10">
        <v>19846.929177561731</v>
      </c>
      <c r="I41" s="12">
        <f t="shared" si="1"/>
        <v>0.1496872625671295</v>
      </c>
      <c r="J41" s="9">
        <v>0.64777446181923548</v>
      </c>
      <c r="K41" s="9">
        <v>4.7958222674249151E-2</v>
      </c>
      <c r="L41" s="10">
        <f t="shared" si="0"/>
        <v>12.430136951069031</v>
      </c>
    </row>
    <row r="42" spans="1:12" x14ac:dyDescent="0.3">
      <c r="A42" t="s">
        <v>96</v>
      </c>
      <c r="B42">
        <v>2021</v>
      </c>
      <c r="C42" s="9">
        <v>0.42247908948511759</v>
      </c>
      <c r="D42" s="9">
        <v>4.2157165122277483E-2</v>
      </c>
      <c r="E42" s="10">
        <v>15711.303861297791</v>
      </c>
      <c r="F42" s="9">
        <v>0.73858986804501392</v>
      </c>
      <c r="G42" s="14">
        <v>1597.224232</v>
      </c>
      <c r="H42" s="10">
        <v>20275.907210682959</v>
      </c>
      <c r="I42" s="12">
        <f t="shared" si="1"/>
        <v>2.16143278027221E-2</v>
      </c>
      <c r="J42" s="9">
        <v>0.71346748019989092</v>
      </c>
      <c r="K42" s="9">
        <v>4.3862949888960862E-2</v>
      </c>
      <c r="L42" s="10">
        <f t="shared" si="0"/>
        <v>12.694465062863483</v>
      </c>
    </row>
    <row r="43" spans="1:12" x14ac:dyDescent="0.3">
      <c r="A43" t="s">
        <v>96</v>
      </c>
      <c r="B43">
        <v>2022</v>
      </c>
      <c r="C43" s="9">
        <v>0.42331449906567131</v>
      </c>
      <c r="D43" s="9">
        <v>3.4061051780020633E-2</v>
      </c>
      <c r="E43" s="10">
        <v>16490.697510014321</v>
      </c>
      <c r="F43" s="9">
        <v>0.76369236914333061</v>
      </c>
      <c r="G43" s="14">
        <v>1596.3186579999999</v>
      </c>
      <c r="H43" s="10">
        <v>18675.208373362679</v>
      </c>
      <c r="I43" s="12">
        <f t="shared" si="1"/>
        <v>-7.8945855329072723E-2</v>
      </c>
      <c r="J43" s="9">
        <v>0.72670105731485468</v>
      </c>
      <c r="K43" s="9">
        <v>4.7227771052457367E-2</v>
      </c>
      <c r="L43" s="10">
        <f t="shared" si="0"/>
        <v>11.698922567728754</v>
      </c>
    </row>
    <row r="44" spans="1:12" x14ac:dyDescent="0.3">
      <c r="A44" t="s">
        <v>96</v>
      </c>
      <c r="B44">
        <v>2023</v>
      </c>
      <c r="C44" s="9"/>
      <c r="D44" s="9">
        <v>3.3873219848874578E-2</v>
      </c>
      <c r="E44" s="10">
        <v>16731.621816216339</v>
      </c>
      <c r="F44" s="9">
        <v>0.90306516625395339</v>
      </c>
      <c r="G44" s="14">
        <v>1594.475369</v>
      </c>
      <c r="H44" s="10">
        <v>17538.98905487041</v>
      </c>
      <c r="I44" s="12">
        <f t="shared" si="1"/>
        <v>-6.0841051718218631E-2</v>
      </c>
      <c r="J44" s="9">
        <v>0</v>
      </c>
      <c r="K44" s="9">
        <v>4.4355117314609317E-2</v>
      </c>
      <c r="L44" s="10">
        <f t="shared" si="0"/>
        <v>10.999849477681339</v>
      </c>
    </row>
    <row r="45" spans="1:12" x14ac:dyDescent="0.3">
      <c r="A45" t="s">
        <v>96</v>
      </c>
      <c r="B45">
        <v>2024</v>
      </c>
      <c r="C45" s="9"/>
      <c r="D45" s="9"/>
      <c r="E45" s="10">
        <v>16355.07237697637</v>
      </c>
      <c r="F45" s="9">
        <v>0.92000000000000015</v>
      </c>
      <c r="G45" s="14">
        <v>1592.2255359999999</v>
      </c>
      <c r="H45" s="10">
        <v>18945.326226778761</v>
      </c>
      <c r="I45" s="12">
        <f t="shared" si="1"/>
        <v>8.0183479646896982E-2</v>
      </c>
      <c r="J45" s="9">
        <v>0</v>
      </c>
      <c r="K45" s="9">
        <v>4.3609969167458441E-2</v>
      </c>
      <c r="L45" s="10">
        <f t="shared" si="0"/>
        <v>11.898644883169844</v>
      </c>
    </row>
    <row r="46" spans="1:12" x14ac:dyDescent="0.3">
      <c r="A46" t="s">
        <v>97</v>
      </c>
      <c r="B46">
        <v>2014</v>
      </c>
      <c r="C46" s="9">
        <v>0.3788989977974801</v>
      </c>
      <c r="D46" s="9">
        <v>3.691296487948087E-2</v>
      </c>
      <c r="E46" s="10">
        <v>15145.603063068231</v>
      </c>
      <c r="F46" s="9">
        <v>0.71255730463471623</v>
      </c>
      <c r="G46" s="14">
        <v>203.26834199999999</v>
      </c>
      <c r="H46" s="10">
        <v>0</v>
      </c>
      <c r="I46" s="12"/>
      <c r="J46" s="9">
        <v>0</v>
      </c>
      <c r="K46" s="9">
        <v>9.1734146154692386E-2</v>
      </c>
      <c r="L46" s="10">
        <f t="shared" si="0"/>
        <v>0</v>
      </c>
    </row>
    <row r="47" spans="1:12" x14ac:dyDescent="0.3">
      <c r="A47" t="s">
        <v>97</v>
      </c>
      <c r="B47">
        <v>2015</v>
      </c>
      <c r="C47" s="9">
        <v>0.3841622978205157</v>
      </c>
      <c r="D47" s="9">
        <v>3.7696453049326763E-2</v>
      </c>
      <c r="E47" s="10">
        <v>14086.82408322539</v>
      </c>
      <c r="F47" s="9">
        <v>0.74807642397454366</v>
      </c>
      <c r="G47" s="14">
        <v>207.53955999999999</v>
      </c>
      <c r="H47" s="10">
        <v>982.45951873810168</v>
      </c>
      <c r="I47" s="12"/>
      <c r="J47" s="9">
        <v>0</v>
      </c>
      <c r="K47" s="9">
        <v>9.4154966429002757E-2</v>
      </c>
      <c r="L47" s="10">
        <f t="shared" si="0"/>
        <v>4.7338421587580779</v>
      </c>
    </row>
    <row r="48" spans="1:12" x14ac:dyDescent="0.3">
      <c r="A48" t="s">
        <v>97</v>
      </c>
      <c r="B48">
        <v>2016</v>
      </c>
      <c r="C48" s="9">
        <v>0.38574741722169781</v>
      </c>
      <c r="D48" s="9">
        <v>3.7859559724199493E-2</v>
      </c>
      <c r="E48" s="10">
        <v>13406.44113674001</v>
      </c>
      <c r="F48" s="9">
        <v>0.78621671141772587</v>
      </c>
      <c r="G48" s="14">
        <v>211.52548300000001</v>
      </c>
      <c r="H48" s="10">
        <v>1073.9885598387959</v>
      </c>
      <c r="I48" s="12">
        <f t="shared" si="1"/>
        <v>9.3163167901570754E-2</v>
      </c>
      <c r="J48" s="9">
        <v>0</v>
      </c>
      <c r="K48" s="9">
        <v>0.10164037887302679</v>
      </c>
      <c r="L48" s="10">
        <f t="shared" si="0"/>
        <v>5.0773483393430938</v>
      </c>
    </row>
    <row r="49" spans="1:12" x14ac:dyDescent="0.3">
      <c r="A49" t="s">
        <v>97</v>
      </c>
      <c r="B49">
        <v>2017</v>
      </c>
      <c r="C49" s="9">
        <v>0.38612559628626769</v>
      </c>
      <c r="D49" s="9">
        <v>3.8171597850431831E-2</v>
      </c>
      <c r="E49" s="10">
        <v>13150.05019935933</v>
      </c>
      <c r="F49" s="9">
        <v>0.9205357938637253</v>
      </c>
      <c r="G49" s="14">
        <v>214.253332</v>
      </c>
      <c r="H49" s="10">
        <v>1183.8936330650281</v>
      </c>
      <c r="I49" s="12">
        <f t="shared" si="1"/>
        <v>0.10233356046430209</v>
      </c>
      <c r="J49" s="9">
        <v>0</v>
      </c>
      <c r="K49" s="9">
        <v>0.1007321028402956</v>
      </c>
      <c r="L49" s="10">
        <f t="shared" si="0"/>
        <v>5.5256719791178233</v>
      </c>
    </row>
    <row r="50" spans="1:12" x14ac:dyDescent="0.3">
      <c r="A50" t="s">
        <v>97</v>
      </c>
      <c r="B50">
        <v>2018</v>
      </c>
      <c r="C50" s="9">
        <v>0.38815468210713389</v>
      </c>
      <c r="D50" s="9">
        <v>3.8690517234092218E-2</v>
      </c>
      <c r="E50" s="10">
        <v>13580.052693809441</v>
      </c>
      <c r="F50" s="9">
        <v>0.92545391678341915</v>
      </c>
      <c r="G50" s="14">
        <v>215.95098400000001</v>
      </c>
      <c r="H50" s="10">
        <v>1353.139446634528</v>
      </c>
      <c r="I50" s="12">
        <f t="shared" si="1"/>
        <v>0.14295694211255516</v>
      </c>
      <c r="J50" s="9">
        <v>0</v>
      </c>
      <c r="K50" s="9">
        <v>0.10094201940839501</v>
      </c>
      <c r="L50" s="10">
        <f t="shared" si="0"/>
        <v>6.2659563831139016</v>
      </c>
    </row>
    <row r="51" spans="1:12" x14ac:dyDescent="0.3">
      <c r="A51" t="s">
        <v>97</v>
      </c>
      <c r="B51">
        <v>2019</v>
      </c>
      <c r="C51" s="9">
        <v>0.3844203646661305</v>
      </c>
      <c r="D51" s="9">
        <v>3.9071212279567988E-2</v>
      </c>
      <c r="E51" s="10">
        <v>13526.105730895209</v>
      </c>
      <c r="F51" s="9">
        <v>0.94724791512201822</v>
      </c>
      <c r="G51" s="14">
        <v>218.194672</v>
      </c>
      <c r="H51" s="10">
        <v>1516.2972386718129</v>
      </c>
      <c r="I51" s="12">
        <f t="shared" si="1"/>
        <v>0.12057721947511335</v>
      </c>
      <c r="J51" s="9">
        <v>0</v>
      </c>
      <c r="K51" s="9">
        <v>0.1051349494326333</v>
      </c>
      <c r="L51" s="10">
        <f t="shared" si="0"/>
        <v>6.9492862716272601</v>
      </c>
    </row>
    <row r="52" spans="1:12" x14ac:dyDescent="0.3">
      <c r="A52" t="s">
        <v>97</v>
      </c>
      <c r="B52">
        <v>2020</v>
      </c>
      <c r="C52" s="9">
        <v>0.38663054086499782</v>
      </c>
      <c r="D52" s="9">
        <v>4.7056233586795462E-2</v>
      </c>
      <c r="E52" s="10">
        <v>12496.380624245459</v>
      </c>
      <c r="F52" s="9">
        <v>0.96842097112184478</v>
      </c>
      <c r="G52" s="14">
        <v>221.276771</v>
      </c>
      <c r="H52" s="10">
        <v>1600.243273475777</v>
      </c>
      <c r="I52" s="12">
        <f t="shared" si="1"/>
        <v>5.5362519078050898E-2</v>
      </c>
      <c r="J52" s="9">
        <v>0.52382154315208285</v>
      </c>
      <c r="K52" s="9">
        <v>0.1024326589008749</v>
      </c>
      <c r="L52" s="10">
        <f t="shared" si="0"/>
        <v>7.231862911971799</v>
      </c>
    </row>
    <row r="53" spans="1:12" x14ac:dyDescent="0.3">
      <c r="A53" t="s">
        <v>97</v>
      </c>
      <c r="B53">
        <v>2021</v>
      </c>
      <c r="C53" s="9">
        <v>0.38187048796947021</v>
      </c>
      <c r="D53" s="9">
        <v>4.7490254007554231E-2</v>
      </c>
      <c r="E53" s="10">
        <v>13686.782514940011</v>
      </c>
      <c r="F53" s="9">
        <v>0.98171527815835358</v>
      </c>
      <c r="G53" s="14">
        <v>222.333741</v>
      </c>
      <c r="H53" s="10">
        <v>2061.2087909118081</v>
      </c>
      <c r="I53" s="12">
        <f t="shared" si="1"/>
        <v>0.2880596501023247</v>
      </c>
      <c r="J53" s="9">
        <v>0.62068800181066908</v>
      </c>
      <c r="K53" s="9">
        <v>9.4760808813134659E-2</v>
      </c>
      <c r="L53" s="10">
        <f t="shared" si="0"/>
        <v>9.2707871582649624</v>
      </c>
    </row>
    <row r="54" spans="1:12" x14ac:dyDescent="0.3">
      <c r="A54" t="s">
        <v>97</v>
      </c>
      <c r="B54">
        <v>2022</v>
      </c>
      <c r="C54" s="9">
        <v>0.38837246741029469</v>
      </c>
      <c r="D54" s="9">
        <v>4.6326607919674023E-2</v>
      </c>
      <c r="E54" s="10">
        <v>15243.574742923331</v>
      </c>
      <c r="F54" s="9">
        <v>0.98496633174284265</v>
      </c>
      <c r="G54" s="14">
        <v>226.31186</v>
      </c>
      <c r="H54" s="10">
        <v>2283.7536041113722</v>
      </c>
      <c r="I54" s="12">
        <f t="shared" si="1"/>
        <v>0.10796810792812406</v>
      </c>
      <c r="J54" s="9">
        <v>0.34298568059591122</v>
      </c>
      <c r="K54" s="9">
        <v>8.6019362300985905E-2</v>
      </c>
      <c r="L54" s="10">
        <f t="shared" si="0"/>
        <v>10.09117950827399</v>
      </c>
    </row>
    <row r="55" spans="1:12" x14ac:dyDescent="0.3">
      <c r="A55" t="s">
        <v>97</v>
      </c>
      <c r="B55">
        <v>2023</v>
      </c>
      <c r="C55" s="9"/>
      <c r="D55" s="9">
        <v>4.7751812921598157E-2</v>
      </c>
      <c r="E55" s="10">
        <v>16420.97790881159</v>
      </c>
      <c r="F55" s="9">
        <v>0.97637500514939424</v>
      </c>
      <c r="G55" s="14">
        <v>229.97015400000001</v>
      </c>
      <c r="H55" s="10">
        <v>2342.394498438025</v>
      </c>
      <c r="I55" s="12">
        <f t="shared" si="1"/>
        <v>2.5677417310292716E-2</v>
      </c>
      <c r="J55" s="9">
        <v>0</v>
      </c>
      <c r="K55" s="9">
        <v>7.5158901353433893E-2</v>
      </c>
      <c r="L55" s="10">
        <f t="shared" si="0"/>
        <v>10.185645648774166</v>
      </c>
    </row>
    <row r="56" spans="1:12" x14ac:dyDescent="0.3">
      <c r="A56" t="s">
        <v>97</v>
      </c>
      <c r="B56">
        <v>2024</v>
      </c>
      <c r="C56" s="9"/>
      <c r="D56" s="9"/>
      <c r="E56" s="10">
        <v>17024.683919555009</v>
      </c>
      <c r="F56" s="9">
        <v>0.97904884345625787</v>
      </c>
      <c r="G56" s="14">
        <v>233.34747899999999</v>
      </c>
      <c r="H56" s="10">
        <v>2414.0502445741249</v>
      </c>
      <c r="I56" s="12">
        <f t="shared" si="1"/>
        <v>3.0590810465052742E-2</v>
      </c>
      <c r="J56" s="9">
        <v>0</v>
      </c>
      <c r="K56" s="9">
        <v>7.2092057509993507E-2</v>
      </c>
      <c r="L56" s="10">
        <f t="shared" si="0"/>
        <v>10.345302443032285</v>
      </c>
    </row>
    <row r="57" spans="1:12" x14ac:dyDescent="0.3">
      <c r="A57" t="s">
        <v>98</v>
      </c>
      <c r="B57">
        <v>2014</v>
      </c>
      <c r="C57" s="9">
        <v>0.50138569439442171</v>
      </c>
      <c r="D57" s="9">
        <v>3.2394364567460747E-2</v>
      </c>
      <c r="E57" s="10">
        <v>1499.295745400985</v>
      </c>
      <c r="F57" s="9">
        <v>0.13008741754839481</v>
      </c>
      <c r="G57" s="14">
        <v>1526.5418380000001</v>
      </c>
      <c r="H57" s="10">
        <v>0</v>
      </c>
      <c r="I57" s="12"/>
      <c r="J57" s="9">
        <v>0</v>
      </c>
      <c r="K57" s="9">
        <v>6.8378444825598031E-2</v>
      </c>
      <c r="L57" s="10">
        <f t="shared" si="0"/>
        <v>0</v>
      </c>
    </row>
    <row r="58" spans="1:12" x14ac:dyDescent="0.3">
      <c r="A58" t="s">
        <v>98</v>
      </c>
      <c r="B58">
        <v>2015</v>
      </c>
      <c r="C58" s="9">
        <v>0.50109466705145378</v>
      </c>
      <c r="D58" s="9">
        <v>3.2540727546138112E-2</v>
      </c>
      <c r="E58" s="10">
        <v>1537.8162065158399</v>
      </c>
      <c r="F58" s="9">
        <v>0.1435161068470592</v>
      </c>
      <c r="G58" s="14">
        <v>1545.3153809999999</v>
      </c>
      <c r="H58" s="10">
        <v>849.87448684534297</v>
      </c>
      <c r="I58" s="12"/>
      <c r="J58" s="9">
        <v>0</v>
      </c>
      <c r="K58" s="9">
        <v>7.0576908235795266E-2</v>
      </c>
      <c r="L58" s="10">
        <f t="shared" si="0"/>
        <v>0.54996830892563475</v>
      </c>
    </row>
    <row r="59" spans="1:12" x14ac:dyDescent="0.3">
      <c r="A59" t="s">
        <v>98</v>
      </c>
      <c r="B59">
        <v>2016</v>
      </c>
      <c r="C59" s="9">
        <v>0.50080575994282983</v>
      </c>
      <c r="D59" s="9">
        <v>3.2697842112373657E-2</v>
      </c>
      <c r="E59" s="10">
        <v>1626.368656784309</v>
      </c>
      <c r="F59" s="9">
        <v>0.15920885403886181</v>
      </c>
      <c r="G59" s="14">
        <v>1564.083165</v>
      </c>
      <c r="H59" s="10">
        <v>1104.6528931556991</v>
      </c>
      <c r="I59" s="12">
        <f t="shared" si="1"/>
        <v>0.29978356834321551</v>
      </c>
      <c r="J59" s="9">
        <v>0</v>
      </c>
      <c r="K59" s="9">
        <v>6.8613853743007325E-2</v>
      </c>
      <c r="L59" s="10">
        <f t="shared" si="0"/>
        <v>0.70626224862902287</v>
      </c>
    </row>
    <row r="60" spans="1:12" x14ac:dyDescent="0.3">
      <c r="A60" t="s">
        <v>98</v>
      </c>
      <c r="B60">
        <v>2017</v>
      </c>
      <c r="C60" s="9">
        <v>0.50059555656389287</v>
      </c>
      <c r="D60" s="9">
        <v>3.2948990686873618E-2</v>
      </c>
      <c r="E60" s="10">
        <v>1742.0426783102589</v>
      </c>
      <c r="F60" s="9">
        <v>0.17576554818033371</v>
      </c>
      <c r="G60" s="14">
        <v>1582.9313669999999</v>
      </c>
      <c r="H60" s="10">
        <v>1343.5931655735781</v>
      </c>
      <c r="I60" s="12">
        <f t="shared" si="1"/>
        <v>0.21630348673173727</v>
      </c>
      <c r="J60" s="9">
        <v>0</v>
      </c>
      <c r="K60" s="9">
        <v>7.002272716141078E-2</v>
      </c>
      <c r="L60" s="10">
        <f t="shared" si="0"/>
        <v>0.84880064517262055</v>
      </c>
    </row>
    <row r="61" spans="1:12" x14ac:dyDescent="0.3">
      <c r="A61" t="s">
        <v>98</v>
      </c>
      <c r="B61">
        <v>2018</v>
      </c>
      <c r="C61" s="9">
        <v>0.50992091601951484</v>
      </c>
      <c r="D61" s="9">
        <v>3.2991511143963863E-2</v>
      </c>
      <c r="E61" s="10">
        <v>1911.9071270038951</v>
      </c>
      <c r="F61" s="9">
        <v>0.1940950551527699</v>
      </c>
      <c r="G61" s="14">
        <v>1601.5879560000001</v>
      </c>
      <c r="H61" s="10">
        <v>1668.751016796652</v>
      </c>
      <c r="I61" s="12">
        <f t="shared" si="1"/>
        <v>0.24200618130136475</v>
      </c>
      <c r="J61" s="9">
        <v>0</v>
      </c>
      <c r="K61" s="9">
        <v>7.1463086250656102E-2</v>
      </c>
      <c r="L61" s="10">
        <f t="shared" si="0"/>
        <v>1.0419352933724559</v>
      </c>
    </row>
    <row r="62" spans="1:12" x14ac:dyDescent="0.3">
      <c r="A62" t="s">
        <v>98</v>
      </c>
      <c r="B62">
        <v>2019</v>
      </c>
      <c r="C62" s="9">
        <v>0.49811782163961849</v>
      </c>
      <c r="D62" s="9">
        <v>3.3202187328769769E-2</v>
      </c>
      <c r="E62" s="10">
        <v>1991.6335050294319</v>
      </c>
      <c r="F62" s="9">
        <v>0.27749197063144559</v>
      </c>
      <c r="G62" s="14">
        <v>1619.8312109999999</v>
      </c>
      <c r="H62" s="10">
        <v>1918.113071503466</v>
      </c>
      <c r="I62" s="12">
        <f t="shared" si="1"/>
        <v>0.14943035371777125</v>
      </c>
      <c r="J62" s="9">
        <v>0</v>
      </c>
      <c r="K62" s="9">
        <v>6.2706259789989921E-2</v>
      </c>
      <c r="L62" s="10">
        <f t="shared" si="0"/>
        <v>1.1841437913270743</v>
      </c>
    </row>
    <row r="63" spans="1:12" x14ac:dyDescent="0.3">
      <c r="A63" t="s">
        <v>98</v>
      </c>
      <c r="B63">
        <v>2020</v>
      </c>
      <c r="C63" s="9">
        <v>0.49123190427486352</v>
      </c>
      <c r="D63" s="9">
        <v>3.9908338957272187E-2</v>
      </c>
      <c r="E63" s="10">
        <v>1823.9439137923621</v>
      </c>
      <c r="F63" s="9">
        <v>0.39893818748768628</v>
      </c>
      <c r="G63" s="14">
        <v>1637.6194410000001</v>
      </c>
      <c r="H63" s="10">
        <v>2121.2042820174711</v>
      </c>
      <c r="I63" s="12">
        <f t="shared" si="1"/>
        <v>0.10588072910363766</v>
      </c>
      <c r="J63" s="9">
        <v>0.63294175379035567</v>
      </c>
      <c r="K63" s="9">
        <v>7.5913686777787828E-2</v>
      </c>
      <c r="L63" s="10">
        <f t="shared" si="0"/>
        <v>1.2952974475694876</v>
      </c>
    </row>
    <row r="64" spans="1:12" x14ac:dyDescent="0.3">
      <c r="A64" t="s">
        <v>98</v>
      </c>
      <c r="B64">
        <v>2021</v>
      </c>
      <c r="C64" s="9">
        <v>0.49112011798011718</v>
      </c>
      <c r="D64" s="9">
        <v>3.9488453552145447E-2</v>
      </c>
      <c r="E64" s="10">
        <v>2061.3888016806181</v>
      </c>
      <c r="F64" s="9">
        <v>0.45562836716085331</v>
      </c>
      <c r="G64" s="14">
        <v>1653.681697</v>
      </c>
      <c r="H64" s="10">
        <v>2654.861697000018</v>
      </c>
      <c r="I64" s="12">
        <f t="shared" si="1"/>
        <v>0.25158228253008574</v>
      </c>
      <c r="J64" s="9">
        <v>0.65775177861674927</v>
      </c>
      <c r="K64" s="9">
        <v>6.3739177728941138E-2</v>
      </c>
      <c r="L64" s="10">
        <f t="shared" si="0"/>
        <v>1.60542485401894</v>
      </c>
    </row>
    <row r="65" spans="1:12" x14ac:dyDescent="0.3">
      <c r="A65" t="s">
        <v>98</v>
      </c>
      <c r="B65">
        <v>2022</v>
      </c>
      <c r="C65" s="9">
        <v>0.48264656126526251</v>
      </c>
      <c r="D65" s="9">
        <v>3.9617770688599417E-2</v>
      </c>
      <c r="E65" s="10">
        <v>2261.5154760780938</v>
      </c>
      <c r="F65" s="9">
        <v>0.51273140888945423</v>
      </c>
      <c r="G65" s="14">
        <v>1669.123879</v>
      </c>
      <c r="H65" s="10">
        <v>2690.904016158906</v>
      </c>
      <c r="I65" s="12">
        <f t="shared" si="1"/>
        <v>1.3575968646357683E-2</v>
      </c>
      <c r="J65" s="9">
        <v>0.42088739765592648</v>
      </c>
      <c r="K65" s="9">
        <v>4.8904764110447432E-2</v>
      </c>
      <c r="L65" s="10">
        <f t="shared" si="0"/>
        <v>1.612165549851861</v>
      </c>
    </row>
    <row r="66" spans="1:12" x14ac:dyDescent="0.3">
      <c r="A66" t="s">
        <v>98</v>
      </c>
      <c r="B66">
        <v>2023</v>
      </c>
      <c r="C66" s="9"/>
      <c r="D66" s="9">
        <v>4.0121388213033307E-2</v>
      </c>
      <c r="E66" s="10">
        <v>2414.074289084454</v>
      </c>
      <c r="F66" s="9">
        <v>0.27375899999999997</v>
      </c>
      <c r="G66" s="14">
        <v>1685.574091</v>
      </c>
      <c r="H66" s="10">
        <v>2920.344220407851</v>
      </c>
      <c r="I66" s="12">
        <f t="shared" si="1"/>
        <v>8.5265101568526624E-2</v>
      </c>
      <c r="J66" s="9">
        <v>0</v>
      </c>
      <c r="K66" s="9">
        <v>4.328381311615094E-2</v>
      </c>
      <c r="L66" s="10">
        <f t="shared" si="0"/>
        <v>1.7325516783870945</v>
      </c>
    </row>
    <row r="67" spans="1:12" x14ac:dyDescent="0.3">
      <c r="A67" t="s">
        <v>98</v>
      </c>
      <c r="B67">
        <v>2024</v>
      </c>
      <c r="C67" s="9"/>
      <c r="D67" s="9"/>
      <c r="E67" s="10">
        <v>2469.9110047356189</v>
      </c>
      <c r="F67" s="9"/>
      <c r="G67" s="14">
        <v>1702.2049549999999</v>
      </c>
      <c r="H67" s="10">
        <v>2928.9463894978198</v>
      </c>
      <c r="I67" s="12">
        <f t="shared" si="1"/>
        <v>2.945601080124538E-3</v>
      </c>
      <c r="J67" s="9">
        <v>0</v>
      </c>
      <c r="K67" s="9">
        <v>4.3677027743882928E-2</v>
      </c>
      <c r="L67" s="10">
        <f t="shared" ref="L67:L122" si="2">H67/G67</f>
        <v>1.720677866019853</v>
      </c>
    </row>
    <row r="68" spans="1:12" x14ac:dyDescent="0.3">
      <c r="A68" t="s">
        <v>99</v>
      </c>
      <c r="B68">
        <v>2014</v>
      </c>
      <c r="C68" s="9">
        <v>0.40251765275679657</v>
      </c>
      <c r="D68" s="9">
        <v>2.182966656097567E-2</v>
      </c>
      <c r="E68" s="10">
        <v>4482.1712442218077</v>
      </c>
      <c r="F68" s="9">
        <v>0.27450100018144807</v>
      </c>
      <c r="G68" s="14">
        <v>560.70633500000008</v>
      </c>
      <c r="H68" s="10">
        <v>0</v>
      </c>
      <c r="I68" s="12"/>
      <c r="J68" s="9">
        <v>0</v>
      </c>
      <c r="K68" s="9">
        <v>3.3496223889482708E-2</v>
      </c>
      <c r="L68" s="10">
        <f t="shared" si="2"/>
        <v>0</v>
      </c>
    </row>
    <row r="69" spans="1:12" x14ac:dyDescent="0.3">
      <c r="A69" t="s">
        <v>99</v>
      </c>
      <c r="B69">
        <v>2015</v>
      </c>
      <c r="C69" s="9">
        <v>0.40042653427823088</v>
      </c>
      <c r="D69" s="9">
        <v>2.2322880549568509E-2</v>
      </c>
      <c r="E69" s="10">
        <v>4356.1110676886901</v>
      </c>
      <c r="F69" s="9">
        <v>0.31812060715203488</v>
      </c>
      <c r="G69" s="14">
        <v>567.24409000000003</v>
      </c>
      <c r="H69" s="10">
        <v>900.25281074874852</v>
      </c>
      <c r="I69" s="12"/>
      <c r="J69" s="9">
        <v>0</v>
      </c>
      <c r="K69" s="9">
        <v>3.5090664850921507E-2</v>
      </c>
      <c r="L69" s="10">
        <f t="shared" si="2"/>
        <v>1.587064240279257</v>
      </c>
    </row>
    <row r="70" spans="1:12" x14ac:dyDescent="0.3">
      <c r="A70" t="s">
        <v>99</v>
      </c>
      <c r="B70">
        <v>2016</v>
      </c>
      <c r="C70" s="9">
        <v>0.3971083979648915</v>
      </c>
      <c r="D70" s="9">
        <v>2.2480956939765279E-2</v>
      </c>
      <c r="E70" s="10">
        <v>4348.9270517199466</v>
      </c>
      <c r="F70" s="9">
        <v>0.35992080848748942</v>
      </c>
      <c r="G70" s="14">
        <v>573.62006299999996</v>
      </c>
      <c r="H70" s="10">
        <v>960.90812484609978</v>
      </c>
      <c r="I70" s="12">
        <f t="shared" ref="I70:I122" si="3">H70/H69-1</f>
        <v>6.7375867504266607E-2</v>
      </c>
      <c r="J70" s="9">
        <v>0</v>
      </c>
      <c r="K70" s="9">
        <v>3.3501548519231102E-2</v>
      </c>
      <c r="L70" s="10">
        <f t="shared" si="2"/>
        <v>1.6751647768744446</v>
      </c>
    </row>
    <row r="71" spans="1:12" x14ac:dyDescent="0.3">
      <c r="A71" t="s">
        <v>99</v>
      </c>
      <c r="B71">
        <v>2017</v>
      </c>
      <c r="C71" s="9">
        <v>0.39368023536751251</v>
      </c>
      <c r="D71" s="9">
        <v>2.2825237774780849E-2</v>
      </c>
      <c r="E71" s="10">
        <v>4470.830398808971</v>
      </c>
      <c r="F71" s="9">
        <v>0.41216754685504392</v>
      </c>
      <c r="G71" s="14">
        <v>579.77141199999994</v>
      </c>
      <c r="H71" s="10">
        <v>1102.1037060277399</v>
      </c>
      <c r="I71" s="12">
        <f t="shared" si="3"/>
        <v>0.14693973079294564</v>
      </c>
      <c r="J71" s="9">
        <v>0</v>
      </c>
      <c r="K71" s="9">
        <v>3.0546389324508028E-2</v>
      </c>
      <c r="L71" s="10">
        <f t="shared" si="2"/>
        <v>1.9009279919923683</v>
      </c>
    </row>
    <row r="72" spans="1:12" x14ac:dyDescent="0.3">
      <c r="A72" t="s">
        <v>99</v>
      </c>
      <c r="B72">
        <v>2018</v>
      </c>
      <c r="C72" s="9">
        <v>0.39266547467797641</v>
      </c>
      <c r="D72" s="9">
        <v>2.3158431868375649E-2</v>
      </c>
      <c r="E72" s="10">
        <v>4827.2787893942595</v>
      </c>
      <c r="F72" s="9">
        <v>0.46643555556332178</v>
      </c>
      <c r="G72" s="14">
        <v>585.58017399999994</v>
      </c>
      <c r="H72" s="10">
        <v>1598.012748080034</v>
      </c>
      <c r="I72" s="12">
        <f t="shared" si="3"/>
        <v>0.44996586014548079</v>
      </c>
      <c r="J72" s="9">
        <v>0</v>
      </c>
      <c r="K72" s="9">
        <v>3.3183074009142319E-2</v>
      </c>
      <c r="L72" s="10">
        <f t="shared" si="2"/>
        <v>2.7289392965002164</v>
      </c>
    </row>
    <row r="73" spans="1:12" x14ac:dyDescent="0.3">
      <c r="A73" t="s">
        <v>99</v>
      </c>
      <c r="B73">
        <v>2019</v>
      </c>
      <c r="C73" s="9">
        <v>0.38735734184234838</v>
      </c>
      <c r="D73" s="9">
        <v>2.3248816432185859E-2</v>
      </c>
      <c r="E73" s="10">
        <v>5124.7710421548954</v>
      </c>
      <c r="F73" s="9">
        <v>0.52337094023206521</v>
      </c>
      <c r="G73" s="14">
        <v>591.134276</v>
      </c>
      <c r="H73" s="10">
        <v>1834.126043067313</v>
      </c>
      <c r="I73" s="12">
        <f t="shared" si="3"/>
        <v>0.1477543250333655</v>
      </c>
      <c r="J73" s="9">
        <v>0</v>
      </c>
      <c r="K73" s="9">
        <v>2.8471004225580791E-2</v>
      </c>
      <c r="L73" s="10">
        <f t="shared" si="2"/>
        <v>3.1027232179433173</v>
      </c>
    </row>
    <row r="74" spans="1:12" x14ac:dyDescent="0.3">
      <c r="A74" t="s">
        <v>99</v>
      </c>
      <c r="B74">
        <v>2020</v>
      </c>
      <c r="C74" s="9">
        <v>0.38713474826762462</v>
      </c>
      <c r="D74" s="9">
        <v>2.662284284776769E-2</v>
      </c>
      <c r="E74" s="10">
        <v>4899.5656942961859</v>
      </c>
      <c r="F74" s="9">
        <v>0.60078368479319422</v>
      </c>
      <c r="G74" s="14">
        <v>596.19217000000003</v>
      </c>
      <c r="H74" s="10">
        <v>2069.320489402462</v>
      </c>
      <c r="I74" s="12">
        <f t="shared" si="3"/>
        <v>0.12823243376546789</v>
      </c>
      <c r="J74" s="9">
        <v>0.56454380493699863</v>
      </c>
      <c r="K74" s="9">
        <v>3.4287614809852207E-2</v>
      </c>
      <c r="L74" s="10">
        <f t="shared" si="2"/>
        <v>3.4708951132358243</v>
      </c>
    </row>
    <row r="75" spans="1:12" x14ac:dyDescent="0.3">
      <c r="A75" t="s">
        <v>99</v>
      </c>
      <c r="B75">
        <v>2021</v>
      </c>
      <c r="C75" s="9">
        <v>0.38612732157631691</v>
      </c>
      <c r="D75" s="9">
        <v>2.8086106898921728E-2</v>
      </c>
      <c r="E75" s="10">
        <v>5199.0118817827552</v>
      </c>
      <c r="F75" s="9">
        <v>0.69250604851897668</v>
      </c>
      <c r="G75" s="14">
        <v>600.25739799999997</v>
      </c>
      <c r="H75" s="10">
        <v>2551.086183059092</v>
      </c>
      <c r="I75" s="12">
        <f t="shared" si="3"/>
        <v>0.23281347482126602</v>
      </c>
      <c r="J75" s="9">
        <v>0.67901541746628535</v>
      </c>
      <c r="K75" s="9">
        <v>3.4209403469803758E-2</v>
      </c>
      <c r="L75" s="10">
        <f t="shared" si="2"/>
        <v>4.2499870748100168</v>
      </c>
    </row>
    <row r="76" spans="1:12" x14ac:dyDescent="0.3">
      <c r="A76" t="s">
        <v>99</v>
      </c>
      <c r="B76">
        <v>2022</v>
      </c>
      <c r="C76" s="9">
        <v>0.38530823873679249</v>
      </c>
      <c r="D76" s="9">
        <v>2.7283640578397411E-2</v>
      </c>
      <c r="E76" s="10">
        <v>5643.2452624581447</v>
      </c>
      <c r="F76" s="9">
        <v>0.7396184878149894</v>
      </c>
      <c r="G76" s="14">
        <v>604.54336599999999</v>
      </c>
      <c r="H76" s="10">
        <v>2521.9989768234832</v>
      </c>
      <c r="I76" s="12">
        <f t="shared" si="3"/>
        <v>-1.1401890860750719E-2</v>
      </c>
      <c r="J76" s="9">
        <v>0.36067734038289262</v>
      </c>
      <c r="K76" s="9">
        <v>2.9422210274388839E-2</v>
      </c>
      <c r="L76" s="10">
        <f t="shared" si="2"/>
        <v>4.1717420431067689</v>
      </c>
    </row>
    <row r="77" spans="1:12" x14ac:dyDescent="0.3">
      <c r="A77" t="s">
        <v>99</v>
      </c>
      <c r="B77">
        <v>2023</v>
      </c>
      <c r="C77" s="9"/>
      <c r="D77" s="9">
        <v>2.783072199157317E-2</v>
      </c>
      <c r="E77" s="10">
        <v>5918.0909724755356</v>
      </c>
      <c r="F77" s="9">
        <v>0.77617894932911136</v>
      </c>
      <c r="G77" s="14">
        <v>609.17983900000002</v>
      </c>
      <c r="H77" s="10">
        <v>2691.663401524801</v>
      </c>
      <c r="I77" s="12">
        <f t="shared" si="3"/>
        <v>6.727378807861939E-2</v>
      </c>
      <c r="J77" s="9">
        <v>0</v>
      </c>
      <c r="K77" s="9">
        <v>2.734507273514955E-2</v>
      </c>
      <c r="L77" s="10">
        <f t="shared" si="2"/>
        <v>4.4185037475030438</v>
      </c>
    </row>
    <row r="78" spans="1:12" x14ac:dyDescent="0.3">
      <c r="A78" t="s">
        <v>99</v>
      </c>
      <c r="B78">
        <v>2024</v>
      </c>
      <c r="C78" s="9"/>
      <c r="D78" s="9"/>
      <c r="E78" s="10">
        <v>6091.3255917449114</v>
      </c>
      <c r="F78" s="9">
        <v>0.78638541511673821</v>
      </c>
      <c r="G78" s="14">
        <v>613.58183099999997</v>
      </c>
      <c r="H78" s="10">
        <v>2722.3411848299179</v>
      </c>
      <c r="I78" s="12">
        <f t="shared" si="3"/>
        <v>1.1397332700566531E-2</v>
      </c>
      <c r="J78" s="9">
        <v>0</v>
      </c>
      <c r="K78" s="9">
        <v>2.7314627917570149E-2</v>
      </c>
      <c r="L78" s="10">
        <f t="shared" si="2"/>
        <v>4.4368021464930214</v>
      </c>
    </row>
    <row r="79" spans="1:12" x14ac:dyDescent="0.3">
      <c r="A79" t="s">
        <v>100</v>
      </c>
      <c r="B79">
        <v>2014</v>
      </c>
      <c r="C79" s="9">
        <v>0.36119229311212309</v>
      </c>
      <c r="D79" s="9">
        <v>3.7544953714363317E-2</v>
      </c>
      <c r="E79" s="10">
        <v>14371.00109768529</v>
      </c>
      <c r="F79" s="9">
        <v>0.69700233525446542</v>
      </c>
      <c r="G79" s="14">
        <v>182.24895799999999</v>
      </c>
      <c r="H79" s="10">
        <v>0</v>
      </c>
      <c r="I79" s="12"/>
      <c r="J79" s="9">
        <v>0</v>
      </c>
      <c r="K79" s="9">
        <v>5.9960160702866673E-2</v>
      </c>
      <c r="L79" s="10">
        <f t="shared" si="2"/>
        <v>0</v>
      </c>
    </row>
    <row r="80" spans="1:12" x14ac:dyDescent="0.3">
      <c r="A80" t="s">
        <v>100</v>
      </c>
      <c r="B80">
        <v>2015</v>
      </c>
      <c r="C80" s="9">
        <v>0.35530830994506901</v>
      </c>
      <c r="D80" s="9">
        <v>3.7454399408141638E-2</v>
      </c>
      <c r="E80" s="10">
        <v>12068.639735056229</v>
      </c>
      <c r="F80" s="9">
        <v>0.69661942752509354</v>
      </c>
      <c r="G80" s="14">
        <v>182.627128</v>
      </c>
      <c r="H80" s="10">
        <v>957.80692588308966</v>
      </c>
      <c r="I80" s="12"/>
      <c r="J80" s="9">
        <v>0</v>
      </c>
      <c r="K80" s="9">
        <v>6.0018796881041683E-2</v>
      </c>
      <c r="L80" s="10">
        <f t="shared" si="2"/>
        <v>5.2446037802395367</v>
      </c>
    </row>
    <row r="81" spans="1:12" x14ac:dyDescent="0.3">
      <c r="A81" t="s">
        <v>100</v>
      </c>
      <c r="B81">
        <v>2016</v>
      </c>
      <c r="C81" s="9">
        <v>0.34659374969599832</v>
      </c>
      <c r="D81" s="9">
        <v>3.7854516663348783E-2</v>
      </c>
      <c r="E81" s="10">
        <v>10314.95979942066</v>
      </c>
      <c r="F81" s="9">
        <v>0.7313483042026756</v>
      </c>
      <c r="G81" s="14">
        <v>182.985547</v>
      </c>
      <c r="H81" s="10">
        <v>880.89518632726333</v>
      </c>
      <c r="I81" s="12">
        <f t="shared" si="3"/>
        <v>-8.0299836509236333E-2</v>
      </c>
      <c r="J81" s="9">
        <v>0</v>
      </c>
      <c r="K81" s="9">
        <v>5.7051267613337793E-2</v>
      </c>
      <c r="L81" s="10">
        <f t="shared" si="2"/>
        <v>4.8140150999317086</v>
      </c>
    </row>
    <row r="82" spans="1:12" x14ac:dyDescent="0.3">
      <c r="A82" t="s">
        <v>100</v>
      </c>
      <c r="B82">
        <v>2017</v>
      </c>
      <c r="C82" s="9">
        <v>0.34689224159834497</v>
      </c>
      <c r="D82" s="9">
        <v>3.7931768680860858E-2</v>
      </c>
      <c r="E82" s="10">
        <v>9910.0971561409769</v>
      </c>
      <c r="F82" s="9">
        <v>0.76003396352087182</v>
      </c>
      <c r="G82" s="14">
        <v>183.26808600000001</v>
      </c>
      <c r="H82" s="10">
        <v>1051.1598766915829</v>
      </c>
      <c r="I82" s="12">
        <f t="shared" si="3"/>
        <v>0.19328598113267947</v>
      </c>
      <c r="J82" s="9">
        <v>0</v>
      </c>
      <c r="K82" s="9">
        <v>5.1611254019535077E-2</v>
      </c>
      <c r="L82" s="10">
        <f t="shared" si="2"/>
        <v>5.73564061061664</v>
      </c>
    </row>
    <row r="83" spans="1:12" x14ac:dyDescent="0.3">
      <c r="A83" t="s">
        <v>100</v>
      </c>
      <c r="B83">
        <v>2018</v>
      </c>
      <c r="C83" s="9">
        <v>0.33802120780129152</v>
      </c>
      <c r="D83" s="9">
        <v>3.7654210644239919E-2</v>
      </c>
      <c r="E83" s="10">
        <v>11035.28316960936</v>
      </c>
      <c r="F83" s="9">
        <v>0.80176538747551596</v>
      </c>
      <c r="G83" s="14">
        <v>183.37285600000001</v>
      </c>
      <c r="H83" s="10">
        <v>1340.796654773636</v>
      </c>
      <c r="I83" s="12">
        <f t="shared" si="3"/>
        <v>0.27554017662247055</v>
      </c>
      <c r="J83" s="9">
        <v>0</v>
      </c>
      <c r="K83" s="9">
        <v>4.6564543913522292E-2</v>
      </c>
      <c r="L83" s="10">
        <f t="shared" si="2"/>
        <v>7.3118600212761908</v>
      </c>
    </row>
    <row r="84" spans="1:12" x14ac:dyDescent="0.3">
      <c r="A84" t="s">
        <v>100</v>
      </c>
      <c r="B84">
        <v>2019</v>
      </c>
      <c r="C84" s="9">
        <v>0.33864417969417221</v>
      </c>
      <c r="D84" s="9">
        <v>3.7873755075894772E-2</v>
      </c>
      <c r="E84" s="10">
        <v>12084.18795893545</v>
      </c>
      <c r="F84" s="9">
        <v>0.82185522478287198</v>
      </c>
      <c r="G84" s="14">
        <v>183.41876600000001</v>
      </c>
      <c r="H84" s="10">
        <v>1476.4744348722959</v>
      </c>
      <c r="I84" s="12">
        <f t="shared" si="3"/>
        <v>0.10119191423666418</v>
      </c>
      <c r="J84" s="9">
        <v>0</v>
      </c>
      <c r="K84" s="9">
        <v>4.2550930099922273E-2</v>
      </c>
      <c r="L84" s="10">
        <f t="shared" si="2"/>
        <v>8.0497457652304547</v>
      </c>
    </row>
    <row r="85" spans="1:12" x14ac:dyDescent="0.3">
      <c r="A85" t="s">
        <v>100</v>
      </c>
      <c r="B85">
        <v>2020</v>
      </c>
      <c r="C85" s="9">
        <v>0.34302851358620229</v>
      </c>
      <c r="D85" s="9">
        <v>4.4483436681433258E-2</v>
      </c>
      <c r="E85" s="10">
        <v>11682.25601389041</v>
      </c>
      <c r="F85" s="9">
        <v>0.84623198206036365</v>
      </c>
      <c r="G85" s="14">
        <v>182.760896</v>
      </c>
      <c r="H85" s="10">
        <v>1623.412046776049</v>
      </c>
      <c r="I85" s="12">
        <f t="shared" si="3"/>
        <v>9.9519238825467538E-2</v>
      </c>
      <c r="J85" s="9">
        <v>0.47795339343551829</v>
      </c>
      <c r="K85" s="9">
        <v>5.1140038003534408E-2</v>
      </c>
      <c r="L85" s="10">
        <f t="shared" si="2"/>
        <v>8.882710045238829</v>
      </c>
    </row>
    <row r="86" spans="1:12" x14ac:dyDescent="0.3">
      <c r="A86" t="s">
        <v>100</v>
      </c>
      <c r="B86">
        <v>2021</v>
      </c>
      <c r="C86" s="9">
        <v>0.32738499637167168</v>
      </c>
      <c r="D86" s="9">
        <v>4.5043684189658997E-2</v>
      </c>
      <c r="E86" s="10">
        <v>12882.15510861403</v>
      </c>
      <c r="F86" s="9">
        <v>0.87636086260790913</v>
      </c>
      <c r="G86" s="14">
        <v>181.72832099999999</v>
      </c>
      <c r="H86" s="10">
        <v>1975.438455816691</v>
      </c>
      <c r="I86" s="12">
        <f t="shared" si="3"/>
        <v>0.2168435362665535</v>
      </c>
      <c r="J86" s="9">
        <v>0.47805729829297261</v>
      </c>
      <c r="K86" s="9">
        <v>4.4476177576636487E-2</v>
      </c>
      <c r="L86" s="10">
        <f t="shared" si="2"/>
        <v>10.870283976357713</v>
      </c>
    </row>
    <row r="87" spans="1:12" x14ac:dyDescent="0.3">
      <c r="A87" t="s">
        <v>100</v>
      </c>
      <c r="B87">
        <v>2022</v>
      </c>
      <c r="C87" s="9">
        <v>0.33631751718006803</v>
      </c>
      <c r="D87" s="9">
        <v>4.5569453320731312E-2</v>
      </c>
      <c r="E87" s="10">
        <v>14154.956069767481</v>
      </c>
      <c r="F87" s="9">
        <v>0.8971090582653144</v>
      </c>
      <c r="G87" s="14">
        <v>181.058682</v>
      </c>
      <c r="H87" s="10">
        <v>2087.95452839156</v>
      </c>
      <c r="I87" s="12">
        <f t="shared" si="3"/>
        <v>5.695751859217113E-2</v>
      </c>
      <c r="J87" s="9">
        <v>0.27163461197326072</v>
      </c>
      <c r="K87" s="9">
        <v>3.6522421849397982E-2</v>
      </c>
      <c r="L87" s="10">
        <f t="shared" si="2"/>
        <v>11.53192161418451</v>
      </c>
    </row>
    <row r="88" spans="1:12" x14ac:dyDescent="0.3">
      <c r="A88" t="s">
        <v>100</v>
      </c>
      <c r="B88">
        <v>2023</v>
      </c>
      <c r="C88" s="9"/>
      <c r="D88" s="9">
        <v>4.601732706236137E-2</v>
      </c>
      <c r="E88" s="10">
        <v>15563.586964692269</v>
      </c>
      <c r="F88" s="9">
        <v>0.91060056522975075</v>
      </c>
      <c r="G88" s="14">
        <v>180.51348300000001</v>
      </c>
      <c r="H88" s="10">
        <v>2038.3254255950969</v>
      </c>
      <c r="I88" s="12">
        <f t="shared" si="3"/>
        <v>-2.3769245029820807E-2</v>
      </c>
      <c r="J88" s="9">
        <v>0</v>
      </c>
      <c r="K88" s="9">
        <v>3.008321462386275E-2</v>
      </c>
      <c r="L88" s="10">
        <f t="shared" si="2"/>
        <v>11.291818160724851</v>
      </c>
    </row>
    <row r="89" spans="1:12" x14ac:dyDescent="0.3">
      <c r="A89" t="s">
        <v>100</v>
      </c>
      <c r="B89">
        <v>2024</v>
      </c>
      <c r="C89" s="9"/>
      <c r="D89" s="9"/>
      <c r="E89" s="10">
        <v>16592.821730955529</v>
      </c>
      <c r="F89" s="9">
        <v>0.93191649185817704</v>
      </c>
      <c r="G89" s="14">
        <v>180.093084</v>
      </c>
      <c r="H89" s="10">
        <v>2010.296164896022</v>
      </c>
      <c r="I89" s="12">
        <f t="shared" si="3"/>
        <v>-1.375112155650593E-2</v>
      </c>
      <c r="J89" s="9">
        <v>0</v>
      </c>
      <c r="K89" s="9">
        <v>2.506531705354104E-2</v>
      </c>
      <c r="L89" s="10">
        <f t="shared" si="2"/>
        <v>11.162539505936952</v>
      </c>
    </row>
    <row r="90" spans="1:12" x14ac:dyDescent="0.3">
      <c r="A90" t="s">
        <v>101</v>
      </c>
      <c r="B90">
        <v>2014</v>
      </c>
      <c r="C90" s="9">
        <v>0.27737276735406202</v>
      </c>
      <c r="D90" s="9">
        <v>3.5665603446958308E-2</v>
      </c>
      <c r="E90" s="10">
        <v>67953.24031898893</v>
      </c>
      <c r="F90" s="9">
        <v>0.92764678433576042</v>
      </c>
      <c r="G90" s="14">
        <v>25.938329</v>
      </c>
      <c r="H90" s="10">
        <v>0</v>
      </c>
      <c r="I90" s="12"/>
      <c r="J90" s="9">
        <v>0</v>
      </c>
      <c r="K90" s="9">
        <v>6.9944903745727025E-2</v>
      </c>
      <c r="L90" s="10">
        <f t="shared" si="2"/>
        <v>0</v>
      </c>
    </row>
    <row r="91" spans="1:12" x14ac:dyDescent="0.3">
      <c r="A91" t="s">
        <v>101</v>
      </c>
      <c r="B91">
        <v>2015</v>
      </c>
      <c r="C91" s="9">
        <v>0.28495015867738038</v>
      </c>
      <c r="D91" s="9">
        <v>3.6460989345914761E-2</v>
      </c>
      <c r="E91" s="10">
        <v>63170.720857295149</v>
      </c>
      <c r="F91" s="9">
        <v>0.92206031680624623</v>
      </c>
      <c r="G91" s="14">
        <v>26.150807</v>
      </c>
      <c r="H91" s="10">
        <v>740.26698935235402</v>
      </c>
      <c r="I91" s="12"/>
      <c r="J91" s="9">
        <v>0</v>
      </c>
      <c r="K91" s="9">
        <v>6.9663163723398674E-2</v>
      </c>
      <c r="L91" s="10">
        <f t="shared" si="2"/>
        <v>28.307615491650182</v>
      </c>
    </row>
    <row r="92" spans="1:12" x14ac:dyDescent="0.3">
      <c r="A92" t="s">
        <v>101</v>
      </c>
      <c r="B92">
        <v>2016</v>
      </c>
      <c r="C92" s="9">
        <v>0.28975974983277408</v>
      </c>
      <c r="D92" s="9">
        <v>3.6268139470000627E-2</v>
      </c>
      <c r="E92" s="10">
        <v>58463.733446415077</v>
      </c>
      <c r="F92" s="9">
        <v>0.92351344794462586</v>
      </c>
      <c r="G92" s="14">
        <v>26.380917</v>
      </c>
      <c r="H92" s="10">
        <v>766.4345333239379</v>
      </c>
      <c r="I92" s="12">
        <f t="shared" si="3"/>
        <v>3.5348792189798139E-2</v>
      </c>
      <c r="J92" s="9">
        <v>0</v>
      </c>
      <c r="K92" s="9">
        <v>6.6950874684909553E-2</v>
      </c>
      <c r="L92" s="10">
        <f t="shared" si="2"/>
        <v>29.052611526882782</v>
      </c>
    </row>
    <row r="93" spans="1:12" x14ac:dyDescent="0.3">
      <c r="A93" t="s">
        <v>101</v>
      </c>
      <c r="B93">
        <v>2017</v>
      </c>
      <c r="C93" s="9">
        <v>0.28528086612632481</v>
      </c>
      <c r="D93" s="9">
        <v>3.6853518919166793E-2</v>
      </c>
      <c r="E93" s="10">
        <v>56344.289598637399</v>
      </c>
      <c r="F93" s="9">
        <v>0.93411449391675994</v>
      </c>
      <c r="G93" s="14">
        <v>26.607859999999999</v>
      </c>
      <c r="H93" s="10">
        <v>946.35326743810197</v>
      </c>
      <c r="I93" s="12">
        <f t="shared" si="3"/>
        <v>0.23474768723412986</v>
      </c>
      <c r="J93" s="9">
        <v>0</v>
      </c>
      <c r="K93" s="9">
        <v>6.4176152165563105E-2</v>
      </c>
      <c r="L93" s="10">
        <f t="shared" si="2"/>
        <v>35.566680952098437</v>
      </c>
    </row>
    <row r="94" spans="1:12" x14ac:dyDescent="0.3">
      <c r="A94" t="s">
        <v>101</v>
      </c>
      <c r="B94">
        <v>2018</v>
      </c>
      <c r="C94" s="9">
        <v>0.28828755534673639</v>
      </c>
      <c r="D94" s="9">
        <v>3.642557327322498E-2</v>
      </c>
      <c r="E94" s="10">
        <v>59976.853299585367</v>
      </c>
      <c r="F94" s="9">
        <v>0.92354951915412464</v>
      </c>
      <c r="G94" s="14">
        <v>26.796291</v>
      </c>
      <c r="H94" s="10">
        <v>1037.7482530640541</v>
      </c>
      <c r="I94" s="12">
        <f t="shared" si="3"/>
        <v>9.6575970909224873E-2</v>
      </c>
      <c r="J94" s="9">
        <v>0</v>
      </c>
      <c r="K94" s="9">
        <v>5.7949346671522572E-2</v>
      </c>
      <c r="L94" s="10">
        <f t="shared" si="2"/>
        <v>38.727309427414937</v>
      </c>
    </row>
    <row r="95" spans="1:12" x14ac:dyDescent="0.3">
      <c r="A95" t="s">
        <v>101</v>
      </c>
      <c r="B95">
        <v>2019</v>
      </c>
      <c r="C95" s="9">
        <v>0.28860729920032729</v>
      </c>
      <c r="D95" s="9">
        <v>3.6622495917641933E-2</v>
      </c>
      <c r="E95" s="10">
        <v>61481.495529527689</v>
      </c>
      <c r="F95" s="9">
        <v>0.94954516853268744</v>
      </c>
      <c r="G95" s="14">
        <v>26.962810999999999</v>
      </c>
      <c r="H95" s="10">
        <v>969.42627140007698</v>
      </c>
      <c r="I95" s="12">
        <f t="shared" si="3"/>
        <v>-6.5836759023442992E-2</v>
      </c>
      <c r="J95" s="9">
        <v>0</v>
      </c>
      <c r="K95" s="9">
        <v>5.7887586535765867E-2</v>
      </c>
      <c r="L95" s="10">
        <f t="shared" si="2"/>
        <v>35.954198966868738</v>
      </c>
    </row>
    <row r="96" spans="1:12" x14ac:dyDescent="0.3">
      <c r="A96" t="s">
        <v>101</v>
      </c>
      <c r="B96">
        <v>2020</v>
      </c>
      <c r="C96" s="9">
        <v>0.28459307941543788</v>
      </c>
      <c r="D96" s="9">
        <v>4.2779076591029599E-2</v>
      </c>
      <c r="E96" s="10">
        <v>60094.547328502122</v>
      </c>
      <c r="F96" s="9">
        <v>0.94501982394762896</v>
      </c>
      <c r="G96" s="14">
        <v>27.093864</v>
      </c>
      <c r="H96" s="10">
        <v>1172.5639221839281</v>
      </c>
      <c r="I96" s="12">
        <f t="shared" si="3"/>
        <v>0.20954419823023063</v>
      </c>
      <c r="J96" s="9">
        <v>0.44895191975656279</v>
      </c>
      <c r="K96" s="9">
        <v>6.8449208032859393E-2</v>
      </c>
      <c r="L96" s="10">
        <f t="shared" si="2"/>
        <v>43.277840406371276</v>
      </c>
    </row>
    <row r="97" spans="1:12" x14ac:dyDescent="0.3">
      <c r="A97" t="s">
        <v>101</v>
      </c>
      <c r="B97">
        <v>2021</v>
      </c>
      <c r="C97" s="9">
        <v>0.29261154336211698</v>
      </c>
      <c r="D97" s="9">
        <v>4.1136605563845158E-2</v>
      </c>
      <c r="E97" s="10">
        <v>64911.021216351648</v>
      </c>
      <c r="F97" s="9">
        <v>0.96054129068292526</v>
      </c>
      <c r="G97" s="14">
        <v>27.221881</v>
      </c>
      <c r="H97" s="10">
        <v>1415.5344773855479</v>
      </c>
      <c r="I97" s="12">
        <f t="shared" si="3"/>
        <v>0.20721305730529505</v>
      </c>
      <c r="J97" s="9">
        <v>0.46270963612959559</v>
      </c>
      <c r="K97" s="9">
        <v>6.8744525863954811E-2</v>
      </c>
      <c r="L97" s="10">
        <f t="shared" si="2"/>
        <v>51.999877502423431</v>
      </c>
    </row>
    <row r="98" spans="1:12" x14ac:dyDescent="0.3">
      <c r="A98" t="s">
        <v>101</v>
      </c>
      <c r="B98">
        <v>2022</v>
      </c>
      <c r="C98" s="9">
        <v>0.30159041116382979</v>
      </c>
      <c r="D98" s="9">
        <v>4.2151059221170177E-2</v>
      </c>
      <c r="E98" s="10">
        <v>68964.733138390249</v>
      </c>
      <c r="F98" s="9">
        <v>0.96008606876916724</v>
      </c>
      <c r="G98" s="14">
        <v>27.403210999999999</v>
      </c>
      <c r="H98" s="10">
        <v>1304.7984701836181</v>
      </c>
      <c r="I98" s="12">
        <f t="shared" si="3"/>
        <v>-7.8229113434563735E-2</v>
      </c>
      <c r="J98" s="9">
        <v>0.14802385027145529</v>
      </c>
      <c r="K98" s="9">
        <v>5.7992897622836978E-2</v>
      </c>
      <c r="L98" s="10">
        <f t="shared" si="2"/>
        <v>47.614802155251738</v>
      </c>
    </row>
    <row r="99" spans="1:12" x14ac:dyDescent="0.3">
      <c r="A99" t="s">
        <v>101</v>
      </c>
      <c r="B99">
        <v>2023</v>
      </c>
      <c r="C99" s="9"/>
      <c r="D99" s="9">
        <v>4.3384405142975389E-2</v>
      </c>
      <c r="E99" s="10">
        <v>69631.065890008875</v>
      </c>
      <c r="F99" s="9">
        <v>0.96582039628951888</v>
      </c>
      <c r="G99" s="14">
        <v>27.587095999999999</v>
      </c>
      <c r="H99" s="10">
        <v>1274.462410365333</v>
      </c>
      <c r="I99" s="12">
        <f t="shared" si="3"/>
        <v>-2.3249613263277347E-2</v>
      </c>
      <c r="J99" s="9">
        <v>0</v>
      </c>
      <c r="K99" s="9">
        <v>6.1671773409205523E-2</v>
      </c>
      <c r="L99" s="10">
        <f t="shared" si="2"/>
        <v>46.19777342150595</v>
      </c>
    </row>
    <row r="100" spans="1:12" x14ac:dyDescent="0.3">
      <c r="A100" t="s">
        <v>101</v>
      </c>
      <c r="B100">
        <v>2024</v>
      </c>
      <c r="C100" s="9"/>
      <c r="D100" s="9"/>
      <c r="E100" s="10">
        <v>67988.348884243431</v>
      </c>
      <c r="F100" s="9">
        <v>0.97060834798435058</v>
      </c>
      <c r="G100" s="14">
        <v>27.738890999999999</v>
      </c>
      <c r="H100" s="10">
        <v>1229.444953071624</v>
      </c>
      <c r="I100" s="12">
        <f t="shared" si="3"/>
        <v>-3.5322703068821348E-2</v>
      </c>
      <c r="J100" s="9">
        <v>0</v>
      </c>
      <c r="K100" s="9">
        <v>6.860643676634369E-2</v>
      </c>
      <c r="L100" s="10">
        <f t="shared" si="2"/>
        <v>44.322065834269438</v>
      </c>
    </row>
    <row r="101" spans="1:12" x14ac:dyDescent="0.3">
      <c r="A101" t="s">
        <v>102</v>
      </c>
      <c r="B101">
        <v>2014</v>
      </c>
      <c r="C101" s="9">
        <v>0.36202542723557668</v>
      </c>
      <c r="D101" s="9">
        <v>2.9835590290911651E-2</v>
      </c>
      <c r="E101" s="10">
        <v>32750.69075805683</v>
      </c>
      <c r="F101" s="9">
        <v>0.64579046539085816</v>
      </c>
      <c r="G101" s="14">
        <v>106.78144</v>
      </c>
      <c r="H101" s="10">
        <v>0</v>
      </c>
      <c r="I101" s="12"/>
      <c r="J101" s="9">
        <v>0</v>
      </c>
      <c r="K101" s="9">
        <v>0.17798919944645811</v>
      </c>
      <c r="L101" s="10">
        <f t="shared" si="2"/>
        <v>0</v>
      </c>
    </row>
    <row r="102" spans="1:12" x14ac:dyDescent="0.3">
      <c r="A102" t="s">
        <v>102</v>
      </c>
      <c r="B102">
        <v>2015</v>
      </c>
      <c r="C102" s="9">
        <v>0.36225667218859658</v>
      </c>
      <c r="D102" s="9">
        <v>3.0315574643592639E-2</v>
      </c>
      <c r="E102" s="10">
        <v>31388.118057859781</v>
      </c>
      <c r="F102" s="9">
        <v>0.67085570369517433</v>
      </c>
      <c r="G102" s="14">
        <v>106.65190800000001</v>
      </c>
      <c r="H102" s="10">
        <v>1341.770150379497</v>
      </c>
      <c r="I102" s="12"/>
      <c r="J102" s="9">
        <v>0</v>
      </c>
      <c r="K102" s="9">
        <v>0.16318771515564451</v>
      </c>
      <c r="L102" s="10">
        <f t="shared" si="2"/>
        <v>12.580835875711637</v>
      </c>
    </row>
    <row r="103" spans="1:12" x14ac:dyDescent="0.3">
      <c r="A103" t="s">
        <v>102</v>
      </c>
      <c r="B103">
        <v>2016</v>
      </c>
      <c r="C103" s="9">
        <v>0.3624855877612056</v>
      </c>
      <c r="D103" s="9">
        <v>3.023356619012435E-2</v>
      </c>
      <c r="E103" s="10">
        <v>30377.301636031709</v>
      </c>
      <c r="F103" s="9">
        <v>0.69710215609409043</v>
      </c>
      <c r="G103" s="14">
        <v>106.573362</v>
      </c>
      <c r="H103" s="10">
        <v>1406.6925063955689</v>
      </c>
      <c r="I103" s="12">
        <f t="shared" si="3"/>
        <v>4.8385601660396071E-2</v>
      </c>
      <c r="J103" s="9">
        <v>0</v>
      </c>
      <c r="K103" s="9">
        <v>0.1515230687466724</v>
      </c>
      <c r="L103" s="10">
        <f t="shared" si="2"/>
        <v>13.199288077217352</v>
      </c>
    </row>
    <row r="104" spans="1:12" x14ac:dyDescent="0.3">
      <c r="A104" t="s">
        <v>102</v>
      </c>
      <c r="B104">
        <v>2017</v>
      </c>
      <c r="C104" s="9">
        <v>0.35982605045533322</v>
      </c>
      <c r="D104" s="9">
        <v>3.1143036036891461E-2</v>
      </c>
      <c r="E104" s="10">
        <v>29823.558291103629</v>
      </c>
      <c r="F104" s="9">
        <v>0.72483402475516323</v>
      </c>
      <c r="G104" s="14">
        <v>106.57348399999999</v>
      </c>
      <c r="H104" s="10">
        <v>1663.8183147875559</v>
      </c>
      <c r="I104" s="12">
        <f t="shared" si="3"/>
        <v>0.1827875013359046</v>
      </c>
      <c r="J104" s="9">
        <v>0</v>
      </c>
      <c r="K104" s="9">
        <v>0.1383860311013197</v>
      </c>
      <c r="L104" s="10">
        <f t="shared" si="2"/>
        <v>15.611935092480941</v>
      </c>
    </row>
    <row r="105" spans="1:12" x14ac:dyDescent="0.3">
      <c r="A105" t="s">
        <v>102</v>
      </c>
      <c r="B105">
        <v>2018</v>
      </c>
      <c r="C105" s="9">
        <v>0.35898065700677317</v>
      </c>
      <c r="D105" s="9">
        <v>3.1202595049956861E-2</v>
      </c>
      <c r="E105" s="10">
        <v>32111.881725812451</v>
      </c>
      <c r="F105" s="9">
        <v>0.7951468282646581</v>
      </c>
      <c r="G105" s="14">
        <v>106.93066899999999</v>
      </c>
      <c r="H105" s="10">
        <v>1947.669494983968</v>
      </c>
      <c r="I105" s="12">
        <f t="shared" si="3"/>
        <v>0.17060226929444244</v>
      </c>
      <c r="J105" s="9">
        <v>0</v>
      </c>
      <c r="K105" s="9">
        <v>0.12601680588092079</v>
      </c>
      <c r="L105" s="10">
        <f t="shared" si="2"/>
        <v>18.214320673369844</v>
      </c>
    </row>
    <row r="106" spans="1:12" x14ac:dyDescent="0.3">
      <c r="A106" t="s">
        <v>102</v>
      </c>
      <c r="B106">
        <v>2019</v>
      </c>
      <c r="C106" s="9">
        <v>0.35481231032724481</v>
      </c>
      <c r="D106" s="9">
        <v>3.1684604206310758E-2</v>
      </c>
      <c r="E106" s="10">
        <v>33058.783660541798</v>
      </c>
      <c r="F106" s="9">
        <v>0.77935213478910548</v>
      </c>
      <c r="G106" s="14">
        <v>106.847582</v>
      </c>
      <c r="H106" s="10">
        <v>2089.119587175499</v>
      </c>
      <c r="I106" s="12">
        <f t="shared" si="3"/>
        <v>7.2625305554059327E-2</v>
      </c>
      <c r="J106" s="9">
        <v>0</v>
      </c>
      <c r="K106" s="9">
        <v>0.1174496934060707</v>
      </c>
      <c r="L106" s="10">
        <f t="shared" si="2"/>
        <v>19.552333783047136</v>
      </c>
    </row>
    <row r="107" spans="1:12" x14ac:dyDescent="0.3">
      <c r="A107" t="s">
        <v>102</v>
      </c>
      <c r="B107">
        <v>2020</v>
      </c>
      <c r="C107" s="9">
        <v>0.34911649932759958</v>
      </c>
      <c r="D107" s="9">
        <v>3.7297064381646081E-2</v>
      </c>
      <c r="E107" s="10">
        <v>30298.507671963809</v>
      </c>
      <c r="F107" s="9">
        <v>0.80559501922178045</v>
      </c>
      <c r="G107" s="14">
        <v>106.798275</v>
      </c>
      <c r="H107" s="10">
        <v>2279.4748923188699</v>
      </c>
      <c r="I107" s="12">
        <f t="shared" si="3"/>
        <v>9.1117476621207949E-2</v>
      </c>
      <c r="J107" s="9">
        <v>0.60932267149597719</v>
      </c>
      <c r="K107" s="9">
        <v>0.1200345690939297</v>
      </c>
      <c r="L107" s="10">
        <f t="shared" si="2"/>
        <v>21.343742605569894</v>
      </c>
    </row>
    <row r="108" spans="1:12" x14ac:dyDescent="0.3">
      <c r="A108" t="s">
        <v>102</v>
      </c>
      <c r="B108">
        <v>2021</v>
      </c>
      <c r="C108" s="9">
        <v>0.35542612506711402</v>
      </c>
      <c r="D108" s="9">
        <v>3.7557344207356867E-2</v>
      </c>
      <c r="E108" s="10">
        <v>33919.878819813588</v>
      </c>
      <c r="F108" s="9">
        <v>0.83336010766314161</v>
      </c>
      <c r="G108" s="14">
        <v>106.576994</v>
      </c>
      <c r="H108" s="10">
        <v>2670.9074725011001</v>
      </c>
      <c r="I108" s="12">
        <f t="shared" si="3"/>
        <v>0.17172050523620053</v>
      </c>
      <c r="J108" s="9">
        <v>0.60569430030770766</v>
      </c>
      <c r="K108" s="9">
        <v>0.11908432042800909</v>
      </c>
      <c r="L108" s="10">
        <f t="shared" si="2"/>
        <v>25.06082572099097</v>
      </c>
    </row>
    <row r="109" spans="1:12" x14ac:dyDescent="0.3">
      <c r="A109" t="s">
        <v>102</v>
      </c>
      <c r="B109">
        <v>2022</v>
      </c>
      <c r="C109" s="9">
        <v>0.34859196873292547</v>
      </c>
      <c r="D109" s="9">
        <v>3.6411792757436362E-2</v>
      </c>
      <c r="E109" s="10">
        <v>36209.830260962452</v>
      </c>
      <c r="F109" s="9">
        <v>0.89277698391912264</v>
      </c>
      <c r="G109" s="14">
        <v>106.799769</v>
      </c>
      <c r="H109" s="10">
        <v>2416.5329798980101</v>
      </c>
      <c r="I109" s="12">
        <f t="shared" si="3"/>
        <v>-9.5238975974292317E-2</v>
      </c>
      <c r="J109" s="9">
        <v>0.25539757719172229</v>
      </c>
      <c r="K109" s="9">
        <v>0.10290074189102411</v>
      </c>
      <c r="L109" s="10">
        <f t="shared" si="2"/>
        <v>22.62676223483227</v>
      </c>
    </row>
    <row r="110" spans="1:12" x14ac:dyDescent="0.3">
      <c r="A110" t="s">
        <v>102</v>
      </c>
      <c r="B110">
        <v>2023</v>
      </c>
      <c r="C110" s="9"/>
      <c r="D110" s="9">
        <v>3.7844125906634461E-2</v>
      </c>
      <c r="E110" s="10">
        <v>36161.749305158723</v>
      </c>
      <c r="F110" s="9">
        <v>0.90819809101733129</v>
      </c>
      <c r="G110" s="14">
        <v>107.336744</v>
      </c>
      <c r="H110" s="10">
        <v>2641.6057053658419</v>
      </c>
      <c r="I110" s="12">
        <f t="shared" si="3"/>
        <v>9.3138693880904899E-2</v>
      </c>
      <c r="J110" s="9">
        <v>0</v>
      </c>
      <c r="K110" s="9">
        <v>9.6775625497266815E-2</v>
      </c>
      <c r="L110" s="10">
        <f t="shared" si="2"/>
        <v>24.610451248324079</v>
      </c>
    </row>
    <row r="111" spans="1:12" x14ac:dyDescent="0.3">
      <c r="A111" t="s">
        <v>102</v>
      </c>
      <c r="B111">
        <v>2024</v>
      </c>
      <c r="C111" s="9"/>
      <c r="D111" s="9"/>
      <c r="E111" s="10">
        <v>36306.190840457733</v>
      </c>
      <c r="F111" s="9">
        <v>0.92182764228987291</v>
      </c>
      <c r="G111" s="14">
        <v>107.80154400000001</v>
      </c>
      <c r="H111" s="10">
        <v>2782.554522897728</v>
      </c>
      <c r="I111" s="12">
        <f t="shared" si="3"/>
        <v>5.3357250571339776E-2</v>
      </c>
      <c r="J111" s="9">
        <v>0</v>
      </c>
      <c r="K111" s="9">
        <v>8.7203700162216596E-2</v>
      </c>
      <c r="L111" s="10">
        <f t="shared" si="2"/>
        <v>25.811824391844777</v>
      </c>
    </row>
    <row r="112" spans="1:12" x14ac:dyDescent="0.3">
      <c r="A112" t="s">
        <v>103</v>
      </c>
      <c r="B112">
        <v>2014</v>
      </c>
      <c r="C112" s="9">
        <v>0.32039400404832308</v>
      </c>
      <c r="D112" s="9">
        <v>4.525098326057337E-2</v>
      </c>
      <c r="E112" s="10">
        <v>47750.59164875179</v>
      </c>
      <c r="F112" s="9">
        <v>0.87215363537641177</v>
      </c>
      <c r="G112" s="14">
        <v>241.62596400000001</v>
      </c>
      <c r="H112" s="10">
        <v>0</v>
      </c>
      <c r="I112" s="12"/>
      <c r="J112" s="9">
        <v>0</v>
      </c>
      <c r="K112" s="9">
        <v>7.1091113665955205E-2</v>
      </c>
      <c r="L112" s="10">
        <f t="shared" si="2"/>
        <v>0</v>
      </c>
    </row>
    <row r="113" spans="1:12" x14ac:dyDescent="0.3">
      <c r="A113" t="s">
        <v>103</v>
      </c>
      <c r="B113">
        <v>2015</v>
      </c>
      <c r="C113" s="9">
        <v>0.31962106737410839</v>
      </c>
      <c r="D113" s="9">
        <v>4.5635677701200042E-2</v>
      </c>
      <c r="E113" s="10">
        <v>46266.8847671927</v>
      </c>
      <c r="F113" s="9">
        <v>0.86352986555091893</v>
      </c>
      <c r="G113" s="14">
        <v>243.24715900000001</v>
      </c>
      <c r="H113" s="10">
        <v>4388.6482643702302</v>
      </c>
      <c r="I113" s="12"/>
      <c r="J113" s="9">
        <v>0</v>
      </c>
      <c r="K113" s="9">
        <v>6.7006330718460724E-2</v>
      </c>
      <c r="L113" s="10">
        <f t="shared" si="2"/>
        <v>18.041930201413905</v>
      </c>
    </row>
    <row r="114" spans="1:12" x14ac:dyDescent="0.3">
      <c r="A114" t="s">
        <v>103</v>
      </c>
      <c r="B114">
        <v>2016</v>
      </c>
      <c r="C114" s="9">
        <v>0.32182295166555758</v>
      </c>
      <c r="D114" s="9">
        <v>4.6622270234531728E-2</v>
      </c>
      <c r="E114" s="10">
        <v>44633.334993913537</v>
      </c>
      <c r="F114" s="9">
        <v>0.86265700814399981</v>
      </c>
      <c r="G114" s="14">
        <v>244.846147</v>
      </c>
      <c r="H114" s="10">
        <v>4937.8215488634614</v>
      </c>
      <c r="I114" s="12">
        <f t="shared" si="3"/>
        <v>0.1251349507664492</v>
      </c>
      <c r="J114" s="9">
        <v>0</v>
      </c>
      <c r="K114" s="9">
        <v>6.1852401582370008E-2</v>
      </c>
      <c r="L114" s="10">
        <f t="shared" si="2"/>
        <v>20.167037992488652</v>
      </c>
    </row>
    <row r="115" spans="1:12" x14ac:dyDescent="0.3">
      <c r="A115" t="s">
        <v>103</v>
      </c>
      <c r="B115">
        <v>2017</v>
      </c>
      <c r="C115" s="9">
        <v>0.32069813172738709</v>
      </c>
      <c r="D115" s="9">
        <v>4.6474370347343481E-2</v>
      </c>
      <c r="E115" s="10">
        <v>43803.288800967894</v>
      </c>
      <c r="F115" s="9">
        <v>0.85742264650713418</v>
      </c>
      <c r="G115" s="14">
        <v>245.95160300000001</v>
      </c>
      <c r="H115" s="10">
        <v>5759.6768467293841</v>
      </c>
      <c r="I115" s="12">
        <f t="shared" si="3"/>
        <v>0.16644086663178204</v>
      </c>
      <c r="J115" s="9">
        <v>0</v>
      </c>
      <c r="K115" s="9">
        <v>5.6713797236727093E-2</v>
      </c>
      <c r="L115" s="10">
        <f t="shared" si="2"/>
        <v>23.417927659245155</v>
      </c>
    </row>
    <row r="116" spans="1:12" x14ac:dyDescent="0.3">
      <c r="A116" t="s">
        <v>103</v>
      </c>
      <c r="B116">
        <v>2018</v>
      </c>
      <c r="C116" s="9">
        <v>0.32069349154969062</v>
      </c>
      <c r="D116" s="9">
        <v>4.703289803807234E-2</v>
      </c>
      <c r="E116" s="10">
        <v>46516.997720398387</v>
      </c>
      <c r="F116" s="9">
        <v>0.87162305317682165</v>
      </c>
      <c r="G116" s="14">
        <v>246.997105</v>
      </c>
      <c r="H116" s="10">
        <v>6878.8889423966157</v>
      </c>
      <c r="I116" s="12">
        <f t="shared" si="3"/>
        <v>0.19431855735148984</v>
      </c>
      <c r="J116" s="9">
        <v>0</v>
      </c>
      <c r="K116" s="9">
        <v>5.2439246751454838E-2</v>
      </c>
      <c r="L116" s="10">
        <f t="shared" si="2"/>
        <v>27.850079224194207</v>
      </c>
    </row>
    <row r="117" spans="1:12" x14ac:dyDescent="0.3">
      <c r="A117" t="s">
        <v>103</v>
      </c>
      <c r="B117">
        <v>2019</v>
      </c>
      <c r="C117" s="9">
        <v>0.32320222877935689</v>
      </c>
      <c r="D117" s="9">
        <v>4.7207066715116409E-2</v>
      </c>
      <c r="E117" s="10">
        <v>48032.78229203316</v>
      </c>
      <c r="F117" s="9">
        <v>0.88520092662889993</v>
      </c>
      <c r="G117" s="14">
        <v>248.002633</v>
      </c>
      <c r="H117" s="10">
        <v>7538.1825227354302</v>
      </c>
      <c r="I117" s="12">
        <f t="shared" si="3"/>
        <v>9.5843033062417149E-2</v>
      </c>
      <c r="J117" s="9">
        <v>0</v>
      </c>
      <c r="K117" s="9">
        <v>4.8162158660912273E-2</v>
      </c>
      <c r="L117" s="10">
        <f t="shared" si="2"/>
        <v>30.395574561240366</v>
      </c>
    </row>
    <row r="118" spans="1:12" x14ac:dyDescent="0.3">
      <c r="A118" t="s">
        <v>103</v>
      </c>
      <c r="B118">
        <v>2020</v>
      </c>
      <c r="C118" s="9">
        <v>0.32027876525892451</v>
      </c>
      <c r="D118" s="9">
        <v>5.6488343611247042E-2</v>
      </c>
      <c r="E118" s="10">
        <v>45346.264011204483</v>
      </c>
      <c r="F118" s="9">
        <v>0.90076750850605991</v>
      </c>
      <c r="G118" s="14">
        <v>248.625395</v>
      </c>
      <c r="H118" s="10">
        <v>8680.608786854662</v>
      </c>
      <c r="I118" s="12">
        <f t="shared" si="3"/>
        <v>0.15155195044344349</v>
      </c>
      <c r="J118" s="9">
        <v>0.53501995671005353</v>
      </c>
      <c r="K118" s="9">
        <v>5.2256080926930258E-2</v>
      </c>
      <c r="L118" s="10">
        <f t="shared" si="2"/>
        <v>34.914409233435954</v>
      </c>
    </row>
    <row r="119" spans="1:12" x14ac:dyDescent="0.3">
      <c r="A119" t="s">
        <v>103</v>
      </c>
      <c r="B119">
        <v>2021</v>
      </c>
      <c r="C119" s="9">
        <v>0.31621890858702217</v>
      </c>
      <c r="D119" s="9">
        <v>5.6544647937690443E-2</v>
      </c>
      <c r="E119" s="10">
        <v>50821.708811853168</v>
      </c>
      <c r="F119" s="9">
        <v>0.91549885876932369</v>
      </c>
      <c r="G119" s="14">
        <v>249.37106399999999</v>
      </c>
      <c r="H119" s="10">
        <v>10053.647792069911</v>
      </c>
      <c r="I119" s="12">
        <f t="shared" si="3"/>
        <v>0.15817312344434731</v>
      </c>
      <c r="J119" s="9">
        <v>0.57368180541484493</v>
      </c>
      <c r="K119" s="9">
        <v>5.2481153380810851E-2</v>
      </c>
      <c r="L119" s="10">
        <f t="shared" si="2"/>
        <v>40.31601594349339</v>
      </c>
    </row>
    <row r="120" spans="1:12" x14ac:dyDescent="0.3">
      <c r="A120" t="s">
        <v>103</v>
      </c>
      <c r="B120">
        <v>2022</v>
      </c>
      <c r="C120" s="9">
        <v>0.3116447680938178</v>
      </c>
      <c r="D120" s="9">
        <v>5.6061021286415873E-2</v>
      </c>
      <c r="E120" s="10">
        <v>53556.694422784043</v>
      </c>
      <c r="F120" s="9">
        <v>0.91511816639787325</v>
      </c>
      <c r="G120" s="14">
        <v>250.65717599999999</v>
      </c>
      <c r="H120" s="10">
        <v>9067.7431251635335</v>
      </c>
      <c r="I120" s="12">
        <f t="shared" si="3"/>
        <v>-9.8064372981519821E-2</v>
      </c>
      <c r="J120" s="9">
        <v>0.17852810655688719</v>
      </c>
      <c r="K120" s="9">
        <v>4.5300115120582067E-2</v>
      </c>
      <c r="L120" s="10">
        <f t="shared" si="2"/>
        <v>36.175876828531464</v>
      </c>
    </row>
    <row r="121" spans="1:12" x14ac:dyDescent="0.3">
      <c r="A121" t="s">
        <v>103</v>
      </c>
      <c r="B121">
        <v>2023</v>
      </c>
      <c r="C121" s="9"/>
      <c r="D121" s="9">
        <v>5.7826225377729468E-2</v>
      </c>
      <c r="E121" s="10">
        <v>53443.382224836307</v>
      </c>
      <c r="F121" s="9">
        <v>0.92562841667290041</v>
      </c>
      <c r="G121" s="14">
        <v>252.22903600000001</v>
      </c>
      <c r="H121" s="10">
        <v>9217.6627128789696</v>
      </c>
      <c r="I121" s="12">
        <f t="shared" si="3"/>
        <v>1.6533285697011069E-2</v>
      </c>
      <c r="J121" s="9">
        <v>0</v>
      </c>
      <c r="K121" s="9">
        <v>4.5777291273792917E-2</v>
      </c>
      <c r="L121" s="10">
        <f t="shared" si="2"/>
        <v>36.544812044870874</v>
      </c>
    </row>
    <row r="122" spans="1:12" x14ac:dyDescent="0.3">
      <c r="A122" t="s">
        <v>103</v>
      </c>
      <c r="B122">
        <v>2024</v>
      </c>
      <c r="C122" s="9"/>
      <c r="D122" s="9"/>
      <c r="E122" s="10">
        <v>53368.341333880628</v>
      </c>
      <c r="F122" s="9">
        <v>0.91315355739891968</v>
      </c>
      <c r="G122" s="14">
        <v>253.68910299999999</v>
      </c>
      <c r="H122" s="10">
        <v>9577.0541672219388</v>
      </c>
      <c r="I122" s="12">
        <f t="shared" si="3"/>
        <v>3.8989434256563316E-2</v>
      </c>
      <c r="J122" s="9">
        <v>0</v>
      </c>
      <c r="K122" s="9">
        <v>4.8170073293451639E-2</v>
      </c>
      <c r="L122" s="10">
        <f t="shared" si="2"/>
        <v>37.751145216599781</v>
      </c>
    </row>
  </sheetData>
  <conditionalFormatting sqref="I2:I12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1:J122">
    <cfRule type="colorScale" priority="1">
      <colorScale>
        <cfvo type="min"/>
        <cfvo type="percentile" val="50"/>
        <cfvo type="max"/>
        <color theme="9" tint="0.59999389629810485"/>
        <color rgb="FFFFEB84"/>
        <color rgb="FFC40000"/>
      </colorScale>
    </cfRule>
    <cfRule type="colorScale" priority="2">
      <colorScale>
        <cfvo type="min"/>
        <cfvo type="max"/>
        <color theme="9" tint="0.59999389629810485"/>
        <color theme="5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3CBB-975B-4FCE-91BA-DCFE25A0E5DC}">
  <dimension ref="A1:L45"/>
  <sheetViews>
    <sheetView workbookViewId="0">
      <selection activeCell="G17" sqref="G17"/>
    </sheetView>
  </sheetViews>
  <sheetFormatPr defaultRowHeight="14.4" x14ac:dyDescent="0.3"/>
  <cols>
    <col min="4" max="4" width="15.88671875" bestFit="1" customWidth="1"/>
    <col min="5" max="5" width="15.21875" bestFit="1" customWidth="1"/>
    <col min="6" max="6" width="13.109375" bestFit="1" customWidth="1"/>
    <col min="7" max="7" width="21.33203125" bestFit="1" customWidth="1"/>
    <col min="8" max="8" width="16.33203125" bestFit="1" customWidth="1"/>
    <col min="9" max="9" width="15.88671875" bestFit="1" customWidth="1"/>
    <col min="10" max="10" width="15.21875" bestFit="1" customWidth="1"/>
    <col min="11" max="11" width="13.88671875" bestFit="1" customWidth="1"/>
  </cols>
  <sheetData>
    <row r="1" spans="1:12" x14ac:dyDescent="0.3">
      <c r="A1" s="1" t="s">
        <v>91</v>
      </c>
      <c r="B1" s="1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13" t="s">
        <v>92</v>
      </c>
      <c r="H1" s="4" t="s">
        <v>8</v>
      </c>
      <c r="I1" s="4" t="s">
        <v>9</v>
      </c>
      <c r="J1" s="3" t="s">
        <v>10</v>
      </c>
      <c r="K1" s="3" t="s">
        <v>11</v>
      </c>
      <c r="L1" s="2" t="s">
        <v>12</v>
      </c>
    </row>
    <row r="2" spans="1:12" x14ac:dyDescent="0.3">
      <c r="A2" t="s">
        <v>93</v>
      </c>
      <c r="B2">
        <v>2014</v>
      </c>
      <c r="C2" s="9">
        <v>0.41021392036656312</v>
      </c>
      <c r="D2" s="9">
        <v>3.1156813085537159E-2</v>
      </c>
      <c r="E2" s="10">
        <v>3622.380132385364</v>
      </c>
      <c r="F2" s="9">
        <v>0.27445998443681852</v>
      </c>
      <c r="G2" s="14">
        <v>339.02040699999998</v>
      </c>
      <c r="H2" s="10">
        <v>0</v>
      </c>
      <c r="I2" s="10"/>
      <c r="J2" s="9"/>
      <c r="K2" s="9">
        <v>9.9901552445189529E-2</v>
      </c>
      <c r="L2" s="10">
        <f>H2/G2</f>
        <v>0</v>
      </c>
    </row>
    <row r="3" spans="1:12" x14ac:dyDescent="0.3">
      <c r="A3" t="s">
        <v>93</v>
      </c>
      <c r="B3">
        <v>2015</v>
      </c>
      <c r="C3" s="9">
        <v>0.41271910521804239</v>
      </c>
      <c r="D3" s="9">
        <v>3.1224170071772611E-2</v>
      </c>
      <c r="E3" s="10">
        <v>3460.8012210756319</v>
      </c>
      <c r="F3" s="9">
        <v>0.29245296420940953</v>
      </c>
      <c r="G3" s="14">
        <v>346.99275699999998</v>
      </c>
      <c r="H3" s="10">
        <v>427.59988543736921</v>
      </c>
      <c r="I3" s="12"/>
      <c r="J3" s="9"/>
      <c r="K3" s="9">
        <v>0.1012909408783135</v>
      </c>
      <c r="L3" s="10">
        <f t="shared" ref="L3:L45" si="0">H3/G3</f>
        <v>1.2323020489945535</v>
      </c>
    </row>
    <row r="4" spans="1:12" x14ac:dyDescent="0.3">
      <c r="A4" t="s">
        <v>93</v>
      </c>
      <c r="B4">
        <v>2016</v>
      </c>
      <c r="C4" s="9">
        <v>0.41014011024645602</v>
      </c>
      <c r="D4" s="9">
        <v>3.1347792545298313E-2</v>
      </c>
      <c r="E4" s="10">
        <v>3175.270981417581</v>
      </c>
      <c r="F4" s="9">
        <v>0.30874984366544622</v>
      </c>
      <c r="G4" s="14">
        <v>354.34784000000002</v>
      </c>
      <c r="H4" s="10">
        <v>480.7198911529099</v>
      </c>
      <c r="I4" s="12">
        <f t="shared" ref="I4:I45" si="1">H4/H3-1</f>
        <v>0.12422829735140617</v>
      </c>
      <c r="J4" s="9"/>
      <c r="K4" s="9">
        <v>0.10340731256287609</v>
      </c>
      <c r="L4" s="10">
        <f t="shared" si="0"/>
        <v>1.3566327683919559</v>
      </c>
    </row>
    <row r="5" spans="1:12" x14ac:dyDescent="0.3">
      <c r="A5" t="s">
        <v>93</v>
      </c>
      <c r="B5">
        <v>2017</v>
      </c>
      <c r="C5" s="9">
        <v>0.40747113840746219</v>
      </c>
      <c r="D5" s="9">
        <v>3.1798176569141703E-2</v>
      </c>
      <c r="E5" s="10">
        <v>2877.116848046117</v>
      </c>
      <c r="F5" s="9">
        <v>0.32664388903391078</v>
      </c>
      <c r="G5" s="14">
        <v>361.58579800000001</v>
      </c>
      <c r="H5" s="10">
        <v>469.62614661224183</v>
      </c>
      <c r="I5" s="12">
        <f t="shared" si="1"/>
        <v>-2.3077356990704012E-2</v>
      </c>
      <c r="J5" s="9"/>
      <c r="K5" s="9">
        <v>0.1035877997608468</v>
      </c>
      <c r="L5" s="10">
        <f t="shared" si="0"/>
        <v>1.2987958852638395</v>
      </c>
    </row>
    <row r="6" spans="1:12" x14ac:dyDescent="0.3">
      <c r="A6" t="s">
        <v>93</v>
      </c>
      <c r="B6">
        <v>2018</v>
      </c>
      <c r="C6" s="9">
        <v>0.40557314698591068</v>
      </c>
      <c r="D6" s="9">
        <v>3.1790188318462372E-2</v>
      </c>
      <c r="E6" s="10">
        <v>2850.118707263704</v>
      </c>
      <c r="F6" s="9">
        <v>0.35417160248023538</v>
      </c>
      <c r="G6" s="14">
        <v>369.23385000000002</v>
      </c>
      <c r="H6" s="10">
        <v>545.60808328671772</v>
      </c>
      <c r="I6" s="12">
        <f t="shared" si="1"/>
        <v>0.16179239001616375</v>
      </c>
      <c r="J6" s="9"/>
      <c r="K6" s="9">
        <v>9.905302534886766E-2</v>
      </c>
      <c r="L6" s="10">
        <f t="shared" si="0"/>
        <v>1.4776762295404868</v>
      </c>
    </row>
    <row r="7" spans="1:12" x14ac:dyDescent="0.3">
      <c r="A7" t="s">
        <v>93</v>
      </c>
      <c r="B7">
        <v>2019</v>
      </c>
      <c r="C7" s="9">
        <v>0.40500943120849048</v>
      </c>
      <c r="D7" s="9">
        <v>3.2014964432966378E-2</v>
      </c>
      <c r="E7" s="10">
        <v>3050.4219138917938</v>
      </c>
      <c r="F7" s="9">
        <v>0.38557544303918251</v>
      </c>
      <c r="G7" s="14">
        <v>376.62668400000001</v>
      </c>
      <c r="H7" s="10">
        <v>642.30172075995711</v>
      </c>
      <c r="I7" s="12">
        <f t="shared" si="1"/>
        <v>0.17722178324551474</v>
      </c>
      <c r="J7" s="9"/>
      <c r="K7" s="9">
        <v>9.6417225729125464E-2</v>
      </c>
      <c r="L7" s="10">
        <f t="shared" si="0"/>
        <v>1.7054068339989343</v>
      </c>
    </row>
    <row r="8" spans="1:12" x14ac:dyDescent="0.3">
      <c r="A8" t="s">
        <v>93</v>
      </c>
      <c r="B8">
        <v>2020</v>
      </c>
      <c r="C8" s="9">
        <v>0.40487041126212309</v>
      </c>
      <c r="D8" s="9">
        <v>3.8830049672720433E-2</v>
      </c>
      <c r="E8" s="10">
        <v>3149.8337492974179</v>
      </c>
      <c r="F8" s="9">
        <v>0.40761447043307292</v>
      </c>
      <c r="G8" s="14">
        <v>383.87368600000002</v>
      </c>
      <c r="H8" s="10">
        <v>740.87607842119769</v>
      </c>
      <c r="I8" s="12">
        <f t="shared" si="1"/>
        <v>0.15347048665012064</v>
      </c>
      <c r="J8" s="9">
        <v>0.5634631202119017</v>
      </c>
      <c r="K8" s="9">
        <v>0.1006556115619501</v>
      </c>
      <c r="L8" s="10">
        <f t="shared" si="0"/>
        <v>1.9299996468661247</v>
      </c>
    </row>
    <row r="9" spans="1:12" x14ac:dyDescent="0.3">
      <c r="A9" t="s">
        <v>93</v>
      </c>
      <c r="B9">
        <v>2021</v>
      </c>
      <c r="C9" s="9">
        <v>0.40472606651660981</v>
      </c>
      <c r="D9" s="9">
        <v>3.9276274574045943E-2</v>
      </c>
      <c r="E9" s="10">
        <v>3577.3676373219369</v>
      </c>
      <c r="F9" s="9">
        <v>0.44176023407350579</v>
      </c>
      <c r="G9" s="14">
        <v>390.98889700000001</v>
      </c>
      <c r="H9" s="10">
        <v>903.67387713626931</v>
      </c>
      <c r="I9" s="12">
        <f t="shared" si="1"/>
        <v>0.21973688104762767</v>
      </c>
      <c r="J9" s="9">
        <v>0.46613908996654041</v>
      </c>
      <c r="K9" s="9">
        <v>0.1048132673264377</v>
      </c>
      <c r="L9" s="10">
        <f t="shared" si="0"/>
        <v>2.3112520178194966</v>
      </c>
    </row>
    <row r="10" spans="1:12" x14ac:dyDescent="0.3">
      <c r="A10" t="s">
        <v>93</v>
      </c>
      <c r="B10">
        <v>2022</v>
      </c>
      <c r="C10" s="9">
        <v>0.40453081076172731</v>
      </c>
      <c r="D10" s="9">
        <v>3.8993576097198182E-2</v>
      </c>
      <c r="E10" s="10">
        <v>3807.9873899313852</v>
      </c>
      <c r="F10" s="9">
        <v>0.45946356398022409</v>
      </c>
      <c r="G10" s="14">
        <v>398.14755600000001</v>
      </c>
      <c r="H10" s="10">
        <v>898.1504863202058</v>
      </c>
      <c r="I10" s="12">
        <f t="shared" si="1"/>
        <v>-6.1121505841986723E-3</v>
      </c>
      <c r="J10" s="9">
        <v>0.22914123368914049</v>
      </c>
      <c r="K10" s="9">
        <v>9.2086525011144366E-2</v>
      </c>
      <c r="L10" s="10">
        <f t="shared" si="0"/>
        <v>2.2558231810927047</v>
      </c>
    </row>
    <row r="11" spans="1:12" x14ac:dyDescent="0.3">
      <c r="A11" t="s">
        <v>93</v>
      </c>
      <c r="B11">
        <v>2023</v>
      </c>
      <c r="C11" s="9"/>
      <c r="D11" s="9">
        <v>3.9552106590336221E-2</v>
      </c>
      <c r="E11" s="10">
        <v>3550.7202496043319</v>
      </c>
      <c r="F11" s="9">
        <v>0.47127891411767719</v>
      </c>
      <c r="G11" s="14">
        <v>405.631101</v>
      </c>
      <c r="H11" s="10">
        <v>864.70176348323525</v>
      </c>
      <c r="I11" s="12">
        <f t="shared" si="1"/>
        <v>-3.7241780020642934E-2</v>
      </c>
      <c r="J11" s="9"/>
      <c r="K11" s="9">
        <v>8.6358352065267291E-2</v>
      </c>
      <c r="L11" s="10">
        <f t="shared" si="0"/>
        <v>2.1317442408915168</v>
      </c>
    </row>
    <row r="12" spans="1:12" x14ac:dyDescent="0.3">
      <c r="A12" t="s">
        <v>93</v>
      </c>
      <c r="B12">
        <v>2024</v>
      </c>
      <c r="C12" s="9"/>
      <c r="D12" s="9"/>
      <c r="E12" s="10">
        <v>2893.5532302101728</v>
      </c>
      <c r="F12" s="9"/>
      <c r="G12" s="14">
        <v>413.22492299999999</v>
      </c>
      <c r="H12" s="10">
        <v>636.96367153272627</v>
      </c>
      <c r="I12" s="12">
        <f t="shared" si="1"/>
        <v>-0.26337183705179801</v>
      </c>
      <c r="J12" s="9"/>
      <c r="K12" s="9">
        <v>8.637035439580687E-2</v>
      </c>
      <c r="L12" s="10">
        <f t="shared" si="0"/>
        <v>1.5414454358376788</v>
      </c>
    </row>
    <row r="13" spans="1:12" x14ac:dyDescent="0.3">
      <c r="A13" t="s">
        <v>104</v>
      </c>
      <c r="B13">
        <v>2014</v>
      </c>
      <c r="C13" s="9">
        <v>0.4367552853464805</v>
      </c>
      <c r="D13" s="9">
        <v>3.8698654643122797E-2</v>
      </c>
      <c r="E13" s="10">
        <v>40007.018996359817</v>
      </c>
      <c r="F13" s="9">
        <v>0.65408614958574063</v>
      </c>
      <c r="G13" s="14">
        <v>538.90551100000005</v>
      </c>
      <c r="H13" s="10">
        <v>0</v>
      </c>
      <c r="I13" s="12"/>
      <c r="J13" s="9"/>
      <c r="K13" s="9">
        <v>6.1713665821520977E-2</v>
      </c>
      <c r="L13" s="10">
        <f t="shared" si="0"/>
        <v>0</v>
      </c>
    </row>
    <row r="14" spans="1:12" x14ac:dyDescent="0.3">
      <c r="A14" t="s">
        <v>104</v>
      </c>
      <c r="B14">
        <v>2015</v>
      </c>
      <c r="C14" s="9">
        <v>0.43938899045181928</v>
      </c>
      <c r="D14" s="9">
        <v>3.877220087829647E-2</v>
      </c>
      <c r="E14" s="10">
        <v>39978.634941637982</v>
      </c>
      <c r="F14" s="9">
        <v>0.70212560307481386</v>
      </c>
      <c r="G14" s="14">
        <v>543.60948999999994</v>
      </c>
      <c r="H14" s="10">
        <v>19395.19574705272</v>
      </c>
      <c r="I14" s="12"/>
      <c r="J14" s="9"/>
      <c r="K14" s="9">
        <v>5.5019738111286472E-2</v>
      </c>
      <c r="L14" s="10">
        <f t="shared" si="0"/>
        <v>35.678545175973149</v>
      </c>
    </row>
    <row r="15" spans="1:12" x14ac:dyDescent="0.3">
      <c r="A15" t="s">
        <v>104</v>
      </c>
      <c r="B15">
        <v>2016</v>
      </c>
      <c r="C15" s="9">
        <v>0.43580446378810872</v>
      </c>
      <c r="D15" s="9">
        <v>3.8786921506051251E-2</v>
      </c>
      <c r="E15" s="10">
        <v>39725.056032023407</v>
      </c>
      <c r="F15" s="9">
        <v>0.77680580019699019</v>
      </c>
      <c r="G15" s="14">
        <v>548.42022699999995</v>
      </c>
      <c r="H15" s="10">
        <v>22575.19890730234</v>
      </c>
      <c r="I15" s="12">
        <f t="shared" si="1"/>
        <v>0.16395829161625519</v>
      </c>
      <c r="J15" s="9"/>
      <c r="K15" s="9">
        <v>5.2044304961184451E-2</v>
      </c>
      <c r="L15" s="10">
        <f t="shared" si="0"/>
        <v>41.164052301269955</v>
      </c>
    </row>
    <row r="16" spans="1:12" x14ac:dyDescent="0.3">
      <c r="A16" t="s">
        <v>104</v>
      </c>
      <c r="B16">
        <v>2017</v>
      </c>
      <c r="C16" s="9">
        <v>0.43185172003299621</v>
      </c>
      <c r="D16" s="9">
        <v>3.8741016138862203E-2</v>
      </c>
      <c r="E16" s="10">
        <v>40652.409552230463</v>
      </c>
      <c r="F16" s="9">
        <v>0.7765327063998454</v>
      </c>
      <c r="G16" s="14">
        <v>553.24368700000002</v>
      </c>
      <c r="H16" s="10">
        <v>28914.159485459011</v>
      </c>
      <c r="I16" s="12">
        <f t="shared" si="1"/>
        <v>0.28079312187615879</v>
      </c>
      <c r="J16" s="9"/>
      <c r="K16" s="9">
        <v>4.7919654233885549E-2</v>
      </c>
      <c r="L16" s="10">
        <f t="shared" si="0"/>
        <v>52.262972293905293</v>
      </c>
    </row>
    <row r="17" spans="1:12" x14ac:dyDescent="0.3">
      <c r="A17" t="s">
        <v>104</v>
      </c>
      <c r="B17">
        <v>2018</v>
      </c>
      <c r="C17" s="9">
        <v>0.42937344232497782</v>
      </c>
      <c r="D17" s="9">
        <v>3.8570269940579549E-2</v>
      </c>
      <c r="E17" s="10">
        <v>43272.048504594473</v>
      </c>
      <c r="F17" s="9">
        <v>0.79537111348621292</v>
      </c>
      <c r="G17" s="14">
        <v>558.09356400000001</v>
      </c>
      <c r="H17" s="10">
        <v>35237.359338776747</v>
      </c>
      <c r="I17" s="12">
        <f t="shared" si="1"/>
        <v>0.21868869667464086</v>
      </c>
      <c r="J17" s="9"/>
      <c r="K17" s="9">
        <v>4.4924632133009151E-2</v>
      </c>
      <c r="L17" s="10">
        <f t="shared" si="0"/>
        <v>63.13880254454385</v>
      </c>
    </row>
    <row r="18" spans="1:12" x14ac:dyDescent="0.3">
      <c r="A18" t="s">
        <v>104</v>
      </c>
      <c r="B18">
        <v>2019</v>
      </c>
      <c r="C18" s="9">
        <v>0.43176843042604018</v>
      </c>
      <c r="D18" s="9">
        <v>3.8865218879389221E-2</v>
      </c>
      <c r="E18" s="10">
        <v>45068.234819071753</v>
      </c>
      <c r="F18" s="9">
        <v>0.82854793990455</v>
      </c>
      <c r="G18" s="14">
        <v>562.71343300000001</v>
      </c>
      <c r="H18" s="10">
        <v>39923.586603568197</v>
      </c>
      <c r="I18" s="12">
        <f t="shared" si="1"/>
        <v>0.13299030780761489</v>
      </c>
      <c r="J18" s="9"/>
      <c r="K18" s="9">
        <v>4.4779985435659572E-2</v>
      </c>
      <c r="L18" s="10">
        <f t="shared" si="0"/>
        <v>70.948344685363494</v>
      </c>
    </row>
    <row r="19" spans="1:12" x14ac:dyDescent="0.3">
      <c r="A19" t="s">
        <v>104</v>
      </c>
      <c r="B19">
        <v>2020</v>
      </c>
      <c r="C19" s="9">
        <v>0.43275227386017928</v>
      </c>
      <c r="D19" s="9">
        <v>4.5757817690176887E-2</v>
      </c>
      <c r="E19" s="10">
        <v>43915.067412020311</v>
      </c>
      <c r="F19" s="9">
        <v>0.84319546262622702</v>
      </c>
      <c r="G19" s="14">
        <v>566.40603299999998</v>
      </c>
      <c r="H19" s="10">
        <v>44744.02132803532</v>
      </c>
      <c r="I19" s="12">
        <f t="shared" si="1"/>
        <v>0.12074152486180423</v>
      </c>
      <c r="J19" s="9">
        <v>0.57906676302768723</v>
      </c>
      <c r="K19" s="9">
        <v>8.1604119078883472E-2</v>
      </c>
      <c r="L19" s="10">
        <f t="shared" si="0"/>
        <v>78.996371368161832</v>
      </c>
    </row>
    <row r="20" spans="1:12" x14ac:dyDescent="0.3">
      <c r="A20" t="s">
        <v>104</v>
      </c>
      <c r="B20">
        <v>2021</v>
      </c>
      <c r="C20" s="9">
        <v>0.41739413819090332</v>
      </c>
      <c r="D20" s="9">
        <v>4.5541392356653769E-2</v>
      </c>
      <c r="E20" s="10">
        <v>48485.197871874589</v>
      </c>
      <c r="F20" s="9">
        <v>0.8625913443181229</v>
      </c>
      <c r="G20" s="14">
        <v>568.63227900000004</v>
      </c>
      <c r="H20" s="10">
        <v>52671.492566983659</v>
      </c>
      <c r="I20" s="12">
        <f t="shared" si="1"/>
        <v>0.1771738659971811</v>
      </c>
      <c r="J20" s="9">
        <v>0.56346804504211123</v>
      </c>
      <c r="K20" s="9">
        <v>6.1010227025609987E-2</v>
      </c>
      <c r="L20" s="10">
        <f t="shared" si="0"/>
        <v>92.628390107596502</v>
      </c>
    </row>
    <row r="21" spans="1:12" x14ac:dyDescent="0.3">
      <c r="A21" t="s">
        <v>104</v>
      </c>
      <c r="B21">
        <v>2022</v>
      </c>
      <c r="C21" s="9">
        <v>0.41606115942493249</v>
      </c>
      <c r="D21" s="9">
        <v>4.4336041380480362E-2</v>
      </c>
      <c r="E21" s="10">
        <v>52277.548517383781</v>
      </c>
      <c r="F21" s="9">
        <v>0.87570358424133121</v>
      </c>
      <c r="G21" s="14">
        <v>572.85735199999999</v>
      </c>
      <c r="H21" s="10">
        <v>51933.531649764358</v>
      </c>
      <c r="I21" s="12">
        <f t="shared" si="1"/>
        <v>-1.4010632341219798E-2</v>
      </c>
      <c r="J21" s="9">
        <v>0.29250449445958088</v>
      </c>
      <c r="K21" s="9">
        <v>4.4516020942260683E-2</v>
      </c>
      <c r="L21" s="10">
        <f t="shared" si="0"/>
        <v>90.657004694886695</v>
      </c>
    </row>
    <row r="22" spans="1:12" x14ac:dyDescent="0.3">
      <c r="A22" t="s">
        <v>104</v>
      </c>
      <c r="B22">
        <v>2023</v>
      </c>
      <c r="C22" s="9"/>
      <c r="D22" s="9">
        <v>4.5511902119230438E-2</v>
      </c>
      <c r="E22" s="10">
        <v>54199.062220847438</v>
      </c>
      <c r="F22" s="9">
        <v>0.89133836515232157</v>
      </c>
      <c r="G22" s="14">
        <v>578.60946100000001</v>
      </c>
      <c r="H22" s="10">
        <v>54029.842913242093</v>
      </c>
      <c r="I22" s="12">
        <f t="shared" si="1"/>
        <v>4.0365274551615205E-2</v>
      </c>
      <c r="J22" s="9"/>
      <c r="K22" s="9">
        <v>4.2862776773019272E-2</v>
      </c>
      <c r="L22" s="10">
        <f t="shared" si="0"/>
        <v>93.378775417642359</v>
      </c>
    </row>
    <row r="23" spans="1:12" x14ac:dyDescent="0.3">
      <c r="A23" t="s">
        <v>104</v>
      </c>
      <c r="B23">
        <v>2024</v>
      </c>
      <c r="C23" s="9"/>
      <c r="D23" s="9"/>
      <c r="E23" s="10">
        <v>56360.396065506829</v>
      </c>
      <c r="F23" s="9"/>
      <c r="G23" s="14">
        <v>584.91172800000004</v>
      </c>
      <c r="H23" s="10">
        <v>57835.936575960979</v>
      </c>
      <c r="I23" s="12">
        <f t="shared" si="1"/>
        <v>7.0444285185697897E-2</v>
      </c>
      <c r="J23" s="9"/>
      <c r="K23" s="9">
        <v>4.5504631461347617E-2</v>
      </c>
      <c r="L23" s="10">
        <f t="shared" si="0"/>
        <v>98.879769044331724</v>
      </c>
    </row>
    <row r="24" spans="1:12" x14ac:dyDescent="0.3">
      <c r="A24" t="s">
        <v>105</v>
      </c>
      <c r="B24">
        <v>2014</v>
      </c>
      <c r="C24" s="9">
        <v>0.44639296276015422</v>
      </c>
      <c r="D24" s="9">
        <v>3.278187977049863E-2</v>
      </c>
      <c r="E24" s="10">
        <v>6692.3685538112304</v>
      </c>
      <c r="F24" s="9">
        <v>0.31916965717238821</v>
      </c>
      <c r="G24" s="14">
        <v>3847.628674</v>
      </c>
      <c r="H24" s="10">
        <v>0</v>
      </c>
      <c r="I24" s="12"/>
      <c r="J24" s="9"/>
      <c r="K24" s="9">
        <v>5.5545795365675527E-2</v>
      </c>
      <c r="L24" s="10">
        <f t="shared" si="0"/>
        <v>0</v>
      </c>
    </row>
    <row r="25" spans="1:12" x14ac:dyDescent="0.3">
      <c r="A25" t="s">
        <v>105</v>
      </c>
      <c r="B25">
        <v>2015</v>
      </c>
      <c r="C25" s="9">
        <v>0.44666806691304989</v>
      </c>
      <c r="D25" s="9">
        <v>3.306720761106359E-2</v>
      </c>
      <c r="E25" s="10">
        <v>6616.8590348764546</v>
      </c>
      <c r="F25" s="9">
        <v>0.34070227594589569</v>
      </c>
      <c r="G25" s="14">
        <v>3885.4062779999999</v>
      </c>
      <c r="H25" s="10">
        <v>13209.765263819019</v>
      </c>
      <c r="I25" s="12"/>
      <c r="J25" s="9"/>
      <c r="K25" s="9">
        <v>5.6892634883997727E-2</v>
      </c>
      <c r="L25" s="10">
        <f t="shared" si="0"/>
        <v>3.3998414370758421</v>
      </c>
    </row>
    <row r="26" spans="1:12" x14ac:dyDescent="0.3">
      <c r="A26" t="s">
        <v>105</v>
      </c>
      <c r="B26">
        <v>2016</v>
      </c>
      <c r="C26" s="9">
        <v>0.44696248973322122</v>
      </c>
      <c r="D26" s="9">
        <v>3.3218468123341248E-2</v>
      </c>
      <c r="E26" s="10">
        <v>6694.1500765750116</v>
      </c>
      <c r="F26" s="9">
        <v>0.36496735358108151</v>
      </c>
      <c r="G26" s="14">
        <v>3922.6491139999998</v>
      </c>
      <c r="H26" s="10">
        <v>16112.06558199746</v>
      </c>
      <c r="I26" s="12">
        <f t="shared" si="1"/>
        <v>0.21970869733224685</v>
      </c>
      <c r="J26" s="9"/>
      <c r="K26" s="9">
        <v>5.596409240432651E-2</v>
      </c>
      <c r="L26" s="10">
        <f t="shared" si="0"/>
        <v>4.107445023439193</v>
      </c>
    </row>
    <row r="27" spans="1:12" x14ac:dyDescent="0.3">
      <c r="A27" t="s">
        <v>105</v>
      </c>
      <c r="B27">
        <v>2017</v>
      </c>
      <c r="C27" s="9">
        <v>0.44827241805932372</v>
      </c>
      <c r="D27" s="9">
        <v>3.3569306988234758E-2</v>
      </c>
      <c r="E27" s="10">
        <v>6926.6822858473579</v>
      </c>
      <c r="F27" s="9">
        <v>0.3839947651210539</v>
      </c>
      <c r="G27" s="14">
        <v>3958.8982219999998</v>
      </c>
      <c r="H27" s="10">
        <v>19771.97019041322</v>
      </c>
      <c r="I27" s="12">
        <f t="shared" si="1"/>
        <v>0.22715303570419243</v>
      </c>
      <c r="J27" s="9"/>
      <c r="K27" s="9">
        <v>5.5730507207543127E-2</v>
      </c>
      <c r="L27" s="10">
        <f t="shared" si="0"/>
        <v>4.9943113163501831</v>
      </c>
    </row>
    <row r="28" spans="1:12" x14ac:dyDescent="0.3">
      <c r="A28" t="s">
        <v>105</v>
      </c>
      <c r="B28">
        <v>2018</v>
      </c>
      <c r="C28" s="9">
        <v>0.4548665490342767</v>
      </c>
      <c r="D28" s="9">
        <v>3.4515110488309499E-2</v>
      </c>
      <c r="E28" s="10">
        <v>7494.3388224671753</v>
      </c>
      <c r="F28" s="9">
        <v>0.41616987997448862</v>
      </c>
      <c r="G28" s="14">
        <v>3991.7277720000002</v>
      </c>
      <c r="H28" s="10">
        <v>20751.164570714591</v>
      </c>
      <c r="I28" s="12">
        <f t="shared" si="1"/>
        <v>4.9524370655593453E-2</v>
      </c>
      <c r="J28" s="9"/>
      <c r="K28" s="9">
        <v>5.6028859749604421E-2</v>
      </c>
      <c r="L28" s="10">
        <f t="shared" si="0"/>
        <v>5.1985420239009699</v>
      </c>
    </row>
    <row r="29" spans="1:12" x14ac:dyDescent="0.3">
      <c r="A29" t="s">
        <v>105</v>
      </c>
      <c r="B29">
        <v>2019</v>
      </c>
      <c r="C29" s="9">
        <v>0.44797954089379211</v>
      </c>
      <c r="D29" s="9">
        <v>3.4700380884109053E-2</v>
      </c>
      <c r="E29" s="10">
        <v>7842.4543932121278</v>
      </c>
      <c r="F29" s="9">
        <v>0.47975855747663959</v>
      </c>
      <c r="G29" s="14">
        <v>4022.8108809999999</v>
      </c>
      <c r="H29" s="10">
        <v>22531.430205998378</v>
      </c>
      <c r="I29" s="12">
        <f t="shared" si="1"/>
        <v>8.579111929921357E-2</v>
      </c>
      <c r="J29" s="9"/>
      <c r="K29" s="9">
        <v>5.2960938050839013E-2</v>
      </c>
      <c r="L29" s="10">
        <f t="shared" si="0"/>
        <v>5.6009170882021335</v>
      </c>
    </row>
    <row r="30" spans="1:12" x14ac:dyDescent="0.3">
      <c r="A30" t="s">
        <v>105</v>
      </c>
      <c r="B30">
        <v>2020</v>
      </c>
      <c r="C30" s="9">
        <v>0.44538761281935457</v>
      </c>
      <c r="D30" s="9">
        <v>3.8721874223832477E-2</v>
      </c>
      <c r="E30" s="10">
        <v>7693.8575269881021</v>
      </c>
      <c r="F30" s="9">
        <v>0.56498267343159869</v>
      </c>
      <c r="G30" s="14">
        <v>4051.7666210000002</v>
      </c>
      <c r="H30" s="10">
        <v>25637.697222457438</v>
      </c>
      <c r="I30" s="12">
        <f t="shared" si="1"/>
        <v>0.13786373026742438</v>
      </c>
      <c r="J30" s="9">
        <v>0.6227632239948816</v>
      </c>
      <c r="K30" s="9">
        <v>6.0863853820798883E-2</v>
      </c>
      <c r="L30" s="10">
        <f t="shared" si="0"/>
        <v>6.3275355223025906</v>
      </c>
    </row>
    <row r="31" spans="1:12" x14ac:dyDescent="0.3">
      <c r="A31" t="s">
        <v>105</v>
      </c>
      <c r="B31">
        <v>2021</v>
      </c>
      <c r="C31" s="9">
        <v>0.4427715632972154</v>
      </c>
      <c r="D31" s="9">
        <v>3.9112793284327707E-2</v>
      </c>
      <c r="E31" s="10">
        <v>8510.411201908837</v>
      </c>
      <c r="F31" s="9">
        <v>0.61062597701409838</v>
      </c>
      <c r="G31" s="14">
        <v>4073.4970680000001</v>
      </c>
      <c r="H31" s="10">
        <v>27543.063881653881</v>
      </c>
      <c r="I31" s="12">
        <f t="shared" si="1"/>
        <v>7.4318946926615226E-2</v>
      </c>
      <c r="J31" s="9">
        <v>0.68070836738688345</v>
      </c>
      <c r="K31" s="9">
        <v>5.3762336983904167E-2</v>
      </c>
      <c r="L31" s="10">
        <f t="shared" si="0"/>
        <v>6.7615278523268794</v>
      </c>
    </row>
    <row r="32" spans="1:12" x14ac:dyDescent="0.3">
      <c r="A32" t="s">
        <v>105</v>
      </c>
      <c r="B32">
        <v>2022</v>
      </c>
      <c r="C32" s="9">
        <v>0.43995106628468661</v>
      </c>
      <c r="D32" s="9">
        <v>3.6727591187039832E-2</v>
      </c>
      <c r="E32" s="10">
        <v>9022.9148319289325</v>
      </c>
      <c r="F32" s="9">
        <v>0.65219496569406266</v>
      </c>
      <c r="G32" s="14">
        <v>4096.2977629999996</v>
      </c>
      <c r="H32" s="10">
        <v>26171.86497045643</v>
      </c>
      <c r="I32" s="12">
        <f t="shared" si="1"/>
        <v>-4.9783819152770081E-2</v>
      </c>
      <c r="J32" s="9">
        <v>0.52687246093192119</v>
      </c>
      <c r="K32" s="9">
        <v>4.7875504515678013E-2</v>
      </c>
      <c r="L32" s="10">
        <f t="shared" si="0"/>
        <v>6.3891510052943463</v>
      </c>
    </row>
    <row r="33" spans="1:12" x14ac:dyDescent="0.3">
      <c r="A33" t="s">
        <v>105</v>
      </c>
      <c r="B33">
        <v>2023</v>
      </c>
      <c r="C33" s="9"/>
      <c r="D33" s="9">
        <v>3.7259879859802787E-2</v>
      </c>
      <c r="E33" s="10">
        <v>9256.3559750331915</v>
      </c>
      <c r="F33" s="9">
        <v>0.81082500776113287</v>
      </c>
      <c r="G33" s="14">
        <v>4119.1994530000002</v>
      </c>
      <c r="H33" s="10">
        <v>25493.39117524109</v>
      </c>
      <c r="I33" s="12">
        <f t="shared" si="1"/>
        <v>-2.5923784796430094E-2</v>
      </c>
      <c r="J33" s="9"/>
      <c r="K33" s="9">
        <v>4.3514828450483378E-2</v>
      </c>
      <c r="L33" s="10">
        <f t="shared" si="0"/>
        <v>6.1889188581714176</v>
      </c>
    </row>
    <row r="34" spans="1:12" x14ac:dyDescent="0.3">
      <c r="A34" t="s">
        <v>105</v>
      </c>
      <c r="B34">
        <v>2024</v>
      </c>
      <c r="C34" s="9"/>
      <c r="D34" s="9"/>
      <c r="E34" s="10">
        <v>9164.9733999096206</v>
      </c>
      <c r="F34" s="9">
        <v>0.89331371798559422</v>
      </c>
      <c r="G34" s="14">
        <v>4141.3598009999996</v>
      </c>
      <c r="H34" s="10">
        <v>27010.66404568062</v>
      </c>
      <c r="I34" s="12">
        <f t="shared" si="1"/>
        <v>5.951632170117449E-2</v>
      </c>
      <c r="J34" s="9"/>
      <c r="K34" s="9">
        <v>4.3215815976195053E-2</v>
      </c>
      <c r="L34" s="10">
        <f t="shared" si="0"/>
        <v>6.5221727508820777</v>
      </c>
    </row>
    <row r="35" spans="1:12" x14ac:dyDescent="0.3">
      <c r="A35" t="s">
        <v>106</v>
      </c>
      <c r="B35">
        <v>2014</v>
      </c>
      <c r="C35" s="9">
        <v>0.3397348460828406</v>
      </c>
      <c r="D35" s="9">
        <v>3.9323649595481243E-2</v>
      </c>
      <c r="E35" s="10">
        <v>34884.705966985217</v>
      </c>
      <c r="F35" s="9">
        <v>0.77396166818310885</v>
      </c>
      <c r="G35" s="14">
        <v>556.59469100000001</v>
      </c>
      <c r="H35" s="10">
        <v>0</v>
      </c>
      <c r="I35" s="12"/>
      <c r="J35" s="9"/>
      <c r="K35" s="9">
        <v>8.790118450402179E-2</v>
      </c>
      <c r="L35" s="10">
        <f t="shared" si="0"/>
        <v>0</v>
      </c>
    </row>
    <row r="36" spans="1:12" x14ac:dyDescent="0.3">
      <c r="A36" t="s">
        <v>106</v>
      </c>
      <c r="B36">
        <v>2015</v>
      </c>
      <c r="C36" s="9">
        <v>0.33780322798026541</v>
      </c>
      <c r="D36" s="9">
        <v>3.9607208527978777E-2</v>
      </c>
      <c r="E36" s="10">
        <v>33038.620225269267</v>
      </c>
      <c r="F36" s="9">
        <v>0.77492621406269546</v>
      </c>
      <c r="G36" s="14">
        <v>558.67700200000002</v>
      </c>
      <c r="H36" s="10">
        <v>7428.4923299851707</v>
      </c>
      <c r="I36" s="12"/>
      <c r="J36" s="9"/>
      <c r="K36" s="9">
        <v>8.3207629899413688E-2</v>
      </c>
      <c r="L36" s="10">
        <f t="shared" si="0"/>
        <v>13.296577992994189</v>
      </c>
    </row>
    <row r="37" spans="1:12" x14ac:dyDescent="0.3">
      <c r="A37" t="s">
        <v>106</v>
      </c>
      <c r="B37">
        <v>2016</v>
      </c>
      <c r="C37" s="9">
        <v>0.33612501267202571</v>
      </c>
      <c r="D37" s="9">
        <v>4.0159692511807822E-2</v>
      </c>
      <c r="E37" s="10">
        <v>31376.545728257719</v>
      </c>
      <c r="F37" s="9">
        <v>0.79121106363632598</v>
      </c>
      <c r="G37" s="14">
        <v>560.78597300000001</v>
      </c>
      <c r="H37" s="10">
        <v>7991.8437749102304</v>
      </c>
      <c r="I37" s="12">
        <f t="shared" si="1"/>
        <v>7.5836578931512966E-2</v>
      </c>
      <c r="J37" s="9"/>
      <c r="K37" s="9">
        <v>7.7566897249122177E-2</v>
      </c>
      <c r="L37" s="10">
        <f t="shared" si="0"/>
        <v>14.251147781312694</v>
      </c>
    </row>
    <row r="38" spans="1:12" x14ac:dyDescent="0.3">
      <c r="A38" t="s">
        <v>106</v>
      </c>
      <c r="B38">
        <v>2017</v>
      </c>
      <c r="C38" s="9">
        <v>0.33497293722251559</v>
      </c>
      <c r="D38" s="9">
        <v>4.0330195579101162E-2</v>
      </c>
      <c r="E38" s="10">
        <v>30702.815435529261</v>
      </c>
      <c r="F38" s="9">
        <v>0.80419005767438556</v>
      </c>
      <c r="G38" s="14">
        <v>562.40103299999998</v>
      </c>
      <c r="H38" s="10">
        <v>9421.0083056466246</v>
      </c>
      <c r="I38" s="12">
        <f t="shared" si="1"/>
        <v>0.17882788640377889</v>
      </c>
      <c r="J38" s="9"/>
      <c r="K38" s="9">
        <v>7.0880767081325763E-2</v>
      </c>
      <c r="L38" s="10">
        <f t="shared" si="0"/>
        <v>16.751406474828833</v>
      </c>
    </row>
    <row r="39" spans="1:12" x14ac:dyDescent="0.3">
      <c r="A39" t="s">
        <v>106</v>
      </c>
      <c r="B39">
        <v>2018</v>
      </c>
      <c r="C39" s="9">
        <v>0.33204463689095609</v>
      </c>
      <c r="D39" s="9">
        <v>4.0479452334970377E-2</v>
      </c>
      <c r="E39" s="10">
        <v>32891.577105204582</v>
      </c>
      <c r="F39" s="9">
        <v>0.83688395756551193</v>
      </c>
      <c r="G39" s="14">
        <v>564.09692100000007</v>
      </c>
      <c r="H39" s="10">
        <v>11205.103345218269</v>
      </c>
      <c r="I39" s="12">
        <f t="shared" si="1"/>
        <v>0.18937410749360239</v>
      </c>
      <c r="J39" s="9"/>
      <c r="K39" s="9">
        <v>6.4738705525588205E-2</v>
      </c>
      <c r="L39" s="10">
        <f t="shared" si="0"/>
        <v>19.863791004840934</v>
      </c>
    </row>
    <row r="40" spans="1:12" x14ac:dyDescent="0.3">
      <c r="A40" t="s">
        <v>106</v>
      </c>
      <c r="B40">
        <v>2019</v>
      </c>
      <c r="C40" s="9">
        <v>0.33253827089258059</v>
      </c>
      <c r="D40" s="9">
        <v>4.0739221270146411E-2</v>
      </c>
      <c r="E40" s="10">
        <v>34178.347073991194</v>
      </c>
      <c r="F40" s="9">
        <v>0.84770555464827424</v>
      </c>
      <c r="G40" s="14">
        <v>565.23179200000004</v>
      </c>
      <c r="H40" s="10">
        <v>12073.2028161833</v>
      </c>
      <c r="I40" s="12">
        <f t="shared" si="1"/>
        <v>7.747358004828131E-2</v>
      </c>
      <c r="J40" s="9"/>
      <c r="K40" s="9">
        <v>5.9902874415882108E-2</v>
      </c>
      <c r="L40" s="10">
        <f t="shared" si="0"/>
        <v>21.359737698871864</v>
      </c>
    </row>
    <row r="41" spans="1:12" x14ac:dyDescent="0.3">
      <c r="A41" t="s">
        <v>106</v>
      </c>
      <c r="B41">
        <v>2020</v>
      </c>
      <c r="C41" s="9">
        <v>0.33137192075491773</v>
      </c>
      <c r="D41" s="9">
        <v>4.8324118983324227E-2</v>
      </c>
      <c r="E41" s="10">
        <v>32326.21882434114</v>
      </c>
      <c r="F41" s="9">
        <v>0.86727560055583941</v>
      </c>
      <c r="G41" s="14">
        <v>565.27842999999996</v>
      </c>
      <c r="H41" s="10">
        <v>13756.059648133511</v>
      </c>
      <c r="I41" s="12">
        <f t="shared" si="1"/>
        <v>0.13938777121299206</v>
      </c>
      <c r="J41" s="9">
        <v>0.52648248225395944</v>
      </c>
      <c r="K41" s="9">
        <v>6.5476806503230636E-2</v>
      </c>
      <c r="L41" s="10">
        <f t="shared" si="0"/>
        <v>24.335016017033432</v>
      </c>
    </row>
    <row r="42" spans="1:12" x14ac:dyDescent="0.3">
      <c r="A42" t="s">
        <v>106</v>
      </c>
      <c r="B42">
        <v>2021</v>
      </c>
      <c r="C42" s="9">
        <v>0.32607049632942819</v>
      </c>
      <c r="D42" s="9">
        <v>4.8520023320331333E-2</v>
      </c>
      <c r="E42" s="10">
        <v>36106.669608187498</v>
      </c>
      <c r="F42" s="9">
        <v>0.88958190198488141</v>
      </c>
      <c r="G42" s="14">
        <v>564.89825999999994</v>
      </c>
      <c r="H42" s="10">
        <v>16115.52819777325</v>
      </c>
      <c r="I42" s="12">
        <f t="shared" si="1"/>
        <v>0.17152212261306121</v>
      </c>
      <c r="J42" s="9">
        <v>0.54361133425392538</v>
      </c>
      <c r="K42" s="9">
        <v>6.3255401672223252E-2</v>
      </c>
      <c r="L42" s="10">
        <f t="shared" si="0"/>
        <v>28.528195852069455</v>
      </c>
    </row>
    <row r="43" spans="1:12" x14ac:dyDescent="0.3">
      <c r="A43" t="s">
        <v>106</v>
      </c>
      <c r="B43">
        <v>2022</v>
      </c>
      <c r="C43" s="9">
        <v>0.32602429694757318</v>
      </c>
      <c r="D43" s="9">
        <v>4.8322632197167328E-2</v>
      </c>
      <c r="E43" s="10">
        <v>38423.008125451379</v>
      </c>
      <c r="F43" s="9">
        <v>0.90731762452319886</v>
      </c>
      <c r="G43" s="14">
        <v>565.91883799999994</v>
      </c>
      <c r="H43" s="10">
        <v>14877.02910363672</v>
      </c>
      <c r="I43" s="12">
        <f t="shared" si="1"/>
        <v>-7.6851287710672733E-2</v>
      </c>
      <c r="J43" s="9">
        <v>0.22134602789966351</v>
      </c>
      <c r="K43" s="9">
        <v>5.3976764007368137E-2</v>
      </c>
      <c r="L43" s="10">
        <f t="shared" si="0"/>
        <v>26.288273343600416</v>
      </c>
    </row>
    <row r="44" spans="1:12" x14ac:dyDescent="0.3">
      <c r="A44" t="s">
        <v>106</v>
      </c>
      <c r="B44">
        <v>2023</v>
      </c>
      <c r="C44" s="9"/>
      <c r="D44" s="9">
        <v>4.9590953605983888E-2</v>
      </c>
      <c r="E44" s="10">
        <v>38916.897305816907</v>
      </c>
      <c r="F44" s="9">
        <v>0.91950710235942656</v>
      </c>
      <c r="G44" s="14">
        <v>567.66635900000006</v>
      </c>
      <c r="H44" s="10">
        <v>15172.056254205239</v>
      </c>
      <c r="I44" s="12">
        <f t="shared" si="1"/>
        <v>1.9831052860977527E-2</v>
      </c>
      <c r="J44" s="9"/>
      <c r="K44" s="9">
        <v>5.1202106858053223E-2</v>
      </c>
      <c r="L44" s="10">
        <f t="shared" si="0"/>
        <v>26.727066019787227</v>
      </c>
    </row>
    <row r="45" spans="1:12" x14ac:dyDescent="0.3">
      <c r="A45" t="s">
        <v>106</v>
      </c>
      <c r="B45">
        <v>2024</v>
      </c>
      <c r="C45" s="9"/>
      <c r="D45" s="9"/>
      <c r="E45" s="10">
        <v>39216.786835689803</v>
      </c>
      <c r="F45" s="9">
        <v>0.92468637512026564</v>
      </c>
      <c r="G45" s="14">
        <v>569.32262200000002</v>
      </c>
      <c r="H45" s="10">
        <v>15599.349808087311</v>
      </c>
      <c r="I45" s="12">
        <f t="shared" si="1"/>
        <v>2.8163193355128735E-2</v>
      </c>
      <c r="J45" s="9"/>
      <c r="K45" s="9">
        <v>4.9248127235369192E-2</v>
      </c>
      <c r="L45" s="10">
        <f t="shared" si="0"/>
        <v>27.399841856428655</v>
      </c>
    </row>
  </sheetData>
  <conditionalFormatting sqref="I2:I45">
    <cfRule type="cellIs" dxfId="1" priority="2" operator="lessThan">
      <formula>0</formula>
    </cfRule>
    <cfRule type="cellIs" dxfId="0" priority="3" operator="greaterThan">
      <formula>0</formula>
    </cfRule>
  </conditionalFormatting>
  <conditionalFormatting sqref="J1:J45">
    <cfRule type="colorScale" priority="1">
      <colorScale>
        <cfvo type="min"/>
        <cfvo type="percentile" val="50"/>
        <cfvo type="max"/>
        <color rgb="FFC1F0C8"/>
        <color rgb="FFFFEB84"/>
        <color rgb="FFC4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Countries</vt:lpstr>
      <vt:lpstr>Macro_Regions</vt:lpstr>
      <vt:lpstr>Continents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MAIJNELLI ROBERTO [EC0104002]</dc:creator>
  <cp:lastModifiedBy>MAIJNELLI ROBERTO [EC0104002]</cp:lastModifiedBy>
  <dcterms:created xsi:type="dcterms:W3CDTF">2026-06-08T17:42:26Z</dcterms:created>
  <dcterms:modified xsi:type="dcterms:W3CDTF">2026-06-16T18:25:38Z</dcterms:modified>
</cp:coreProperties>
</file>